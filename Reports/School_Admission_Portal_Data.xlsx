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Uni\1st Semester\AICTL\Final Project\"/>
    </mc:Choice>
  </mc:AlternateContent>
  <xr:revisionPtr revIDLastSave="0" documentId="13_ncr:1_{D9641295-193B-4F42-88B2-EE39DA9C5C9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aw_Admission_Data" sheetId="1" r:id="rId1"/>
    <sheet name="Admission_Calculations" sheetId="2" r:id="rId2"/>
    <sheet name="Dashboard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T21" i="2" l="1"/>
  <c r="L29" i="2"/>
  <c r="L27" i="2"/>
  <c r="L25" i="2"/>
  <c r="E33" i="2"/>
  <c r="E31" i="2"/>
  <c r="E29" i="2"/>
  <c r="E27" i="2"/>
  <c r="E25" i="2"/>
  <c r="T13" i="2"/>
  <c r="T11" i="2"/>
  <c r="T9" i="2"/>
  <c r="L15" i="2"/>
  <c r="L13" i="2"/>
  <c r="L11" i="2"/>
  <c r="L9" i="2"/>
  <c r="E17" i="2"/>
  <c r="E15" i="2"/>
  <c r="E13" i="2"/>
  <c r="E11" i="2"/>
  <c r="E9" i="2"/>
</calcChain>
</file>

<file path=xl/sharedStrings.xml><?xml version="1.0" encoding="utf-8"?>
<sst xmlns="http://schemas.openxmlformats.org/spreadsheetml/2006/main" count="121" uniqueCount="72">
  <si>
    <t>Raw Data</t>
  </si>
  <si>
    <t>Admission Level</t>
  </si>
  <si>
    <t>Fee Category</t>
  </si>
  <si>
    <t>Available Seats</t>
  </si>
  <si>
    <t>Playgroup</t>
  </si>
  <si>
    <t>Primary</t>
  </si>
  <si>
    <t>Nursery</t>
  </si>
  <si>
    <t>Kindergarten</t>
  </si>
  <si>
    <t>Grade 1-5</t>
  </si>
  <si>
    <t>Middle</t>
  </si>
  <si>
    <t>Grade 6-8</t>
  </si>
  <si>
    <t>Matric</t>
  </si>
  <si>
    <t>Secondary</t>
  </si>
  <si>
    <t>Calculations</t>
  </si>
  <si>
    <t>Metric</t>
  </si>
  <si>
    <t>Value</t>
  </si>
  <si>
    <t>Total Seats</t>
  </si>
  <si>
    <t>Average Seats</t>
  </si>
  <si>
    <t>Primary Seats</t>
  </si>
  <si>
    <t>Middle Seats</t>
  </si>
  <si>
    <t>Secondary Seats</t>
  </si>
  <si>
    <t>Summary</t>
  </si>
  <si>
    <t>Website Visits</t>
  </si>
  <si>
    <t>Page</t>
  </si>
  <si>
    <t>Monthly Visits</t>
  </si>
  <si>
    <t>Home</t>
  </si>
  <si>
    <t>About</t>
  </si>
  <si>
    <t>Admissions</t>
  </si>
  <si>
    <t>Gallery</t>
  </si>
  <si>
    <t>Contact</t>
  </si>
  <si>
    <t>Total Students</t>
  </si>
  <si>
    <t>Total Teachers</t>
  </si>
  <si>
    <t>Years of Excellence</t>
  </si>
  <si>
    <t>Class Level</t>
  </si>
  <si>
    <t>Applications</t>
  </si>
  <si>
    <t>KG</t>
  </si>
  <si>
    <t>Grade 1–5</t>
  </si>
  <si>
    <t>Grade 6–8</t>
  </si>
  <si>
    <t>Admission Data</t>
  </si>
  <si>
    <t>Webiste Page Visits</t>
  </si>
  <si>
    <t>School Satistics</t>
  </si>
  <si>
    <t>Applications Analysis</t>
  </si>
  <si>
    <t>Monthly Fee (PKR)</t>
  </si>
  <si>
    <t>Fee Structure</t>
  </si>
  <si>
    <t>Daily Classes</t>
  </si>
  <si>
    <t>Hours per Day</t>
  </si>
  <si>
    <t>Time Table</t>
  </si>
  <si>
    <t>Admission Seats</t>
  </si>
  <si>
    <t>Total Applications</t>
  </si>
  <si>
    <t>Average Applications</t>
  </si>
  <si>
    <t>Maximum Applications</t>
  </si>
  <si>
    <t>Minimum Applications</t>
  </si>
  <si>
    <t>Applicants</t>
  </si>
  <si>
    <t>Total Visits</t>
  </si>
  <si>
    <t>Average Visits</t>
  </si>
  <si>
    <t>Highest Page Visits</t>
  </si>
  <si>
    <t>Student to Teacher Ratio</t>
  </si>
  <si>
    <t>Average Monthly Fee</t>
  </si>
  <si>
    <t>Highest Fee</t>
  </si>
  <si>
    <t>Lowest Fee</t>
  </si>
  <si>
    <t>Primary Avg Fee</t>
  </si>
  <si>
    <t>Secondary Avg Fee</t>
  </si>
  <si>
    <t>Average Classes Per Day</t>
  </si>
  <si>
    <t>Maximum Daily Hours</t>
  </si>
  <si>
    <t>Minimum Daily Hours</t>
  </si>
  <si>
    <t>Dashboard</t>
  </si>
  <si>
    <t>Admission Capacity</t>
  </si>
  <si>
    <t>Admission Demand</t>
  </si>
  <si>
    <t>Academic Load</t>
  </si>
  <si>
    <t>Average Fee</t>
  </si>
  <si>
    <t>Total Website Visits</t>
  </si>
  <si>
    <t>Website Usage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</si>
</sst>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Gill Sans MT"/>
      <family val="2"/>
      <scheme val="minor"/>
    </font>
    <font>
      <b/>
      <sz val="11"/>
      <color theme="0"/>
      <name val="Gill Sans MT"/>
      <family val="2"/>
      <scheme val="minor"/>
    </font>
    <font>
      <sz val="12"/>
      <color theme="0"/>
      <name val="Gill Sans MT"/>
      <family val="2"/>
      <scheme val="minor"/>
    </font>
    <font>
      <sz val="14"/>
      <color theme="0"/>
      <name val="Gill Sans MT"/>
      <family val="2"/>
      <scheme val="minor"/>
    </font>
    <font>
      <b/>
      <sz val="14"/>
      <color theme="0"/>
      <name val="Gill Sans MT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Gill Sans MT"/>
      <family val="2"/>
      <scheme val="minor"/>
    </font>
    <font>
      <b/>
      <sz val="28"/>
      <color theme="0"/>
      <name val="Gill Sans MT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3CCFF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rgb="FFFFFF99"/>
        <bgColor indexed="64"/>
      </patternFill>
    </fill>
  </fills>
  <borders count="3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33CCFF"/>
      </left>
      <right style="thin">
        <color rgb="FF33CCFF"/>
      </right>
      <top style="thin">
        <color rgb="FF33CCFF"/>
      </top>
      <bottom style="thin">
        <color rgb="FF33CCF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vertical="center"/>
    </xf>
    <xf numFmtId="0" fontId="0" fillId="4" borderId="2" xfId="0" applyFill="1" applyBorder="1" applyAlignment="1">
      <alignment horizontal="center" vertical="center"/>
    </xf>
    <xf numFmtId="0" fontId="0" fillId="4" borderId="2" xfId="0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4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/>
    <xf numFmtId="164" fontId="0" fillId="4" borderId="2" xfId="0" applyNumberFormat="1" applyFill="1" applyBorder="1" applyAlignment="1">
      <alignment horizontal="center" vertical="center"/>
    </xf>
    <xf numFmtId="164" fontId="0" fillId="4" borderId="2" xfId="0" applyNumberFormat="1" applyFill="1" applyBorder="1"/>
    <xf numFmtId="0" fontId="4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2" borderId="0" xfId="0" applyFont="1" applyFill="1"/>
    <xf numFmtId="0" fontId="7" fillId="2" borderId="2" xfId="0" applyFont="1" applyFill="1" applyBorder="1" applyAlignment="1">
      <alignment horizontal="center" vertical="center"/>
    </xf>
    <xf numFmtId="0" fontId="1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9"/>
      <color rgb="FFFFFFCC"/>
      <color rgb="FF99FFCC"/>
      <color rgb="FF33CCFF"/>
      <color rgb="FFFF2F2F"/>
      <color rgb="FFFF5757"/>
      <color rgb="FFFF8B8B"/>
      <color rgb="FFADF98F"/>
      <color rgb="FFFDA1A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School Overview Statistics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Raw_Admission_Data!$R$9:$R$14</c:f>
              <c:strCache>
                <c:ptCount val="5"/>
                <c:pt idx="0">
                  <c:v>Total Students</c:v>
                </c:pt>
                <c:pt idx="2">
                  <c:v>Total Teachers</c:v>
                </c:pt>
                <c:pt idx="4">
                  <c:v>Years of Excellence</c:v>
                </c:pt>
              </c:strCache>
            </c:strRef>
          </c:cat>
          <c:val>
            <c:numRef>
              <c:f>Raw_Admission_Data!$T$9:$T$14</c:f>
              <c:numCache>
                <c:formatCode>General</c:formatCode>
                <c:ptCount val="6"/>
                <c:pt idx="0">
                  <c:v>1200</c:v>
                </c:pt>
                <c:pt idx="2">
                  <c:v>80</c:v>
                </c:pt>
                <c:pt idx="4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3D-4201-8069-8039AFB6B1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4949631"/>
        <c:axId val="197495011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Raw_Admission_Data!$R$9:$R$14</c15:sqref>
                        </c15:formulaRef>
                      </c:ext>
                    </c:extLst>
                    <c:strCache>
                      <c:ptCount val="5"/>
                      <c:pt idx="0">
                        <c:v>Total Students</c:v>
                      </c:pt>
                      <c:pt idx="2">
                        <c:v>Total Teachers</c:v>
                      </c:pt>
                      <c:pt idx="4">
                        <c:v>Years of Excellence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Raw_Admission_Data!$S$9:$S$14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843D-4201-8069-8039AFB6B109}"/>
                  </c:ext>
                </c:extLst>
              </c15:ser>
            </c15:filteredBarSeries>
            <c15:filteredBarSeries>
              <c15:ser>
                <c:idx val="2"/>
                <c:order val="2"/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Raw_Admission_Data!$R$9:$R$14</c15:sqref>
                        </c15:formulaRef>
                      </c:ext>
                    </c:extLst>
                    <c:strCache>
                      <c:ptCount val="5"/>
                      <c:pt idx="0">
                        <c:v>Total Students</c:v>
                      </c:pt>
                      <c:pt idx="2">
                        <c:v>Total Teachers</c:v>
                      </c:pt>
                      <c:pt idx="4">
                        <c:v>Years of Excellence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Raw_Admission_Data!$U$9:$U$14</c15:sqref>
                        </c15:formulaRef>
                      </c:ext>
                    </c:extLst>
                    <c:numCache>
                      <c:formatCode>General</c:formatCode>
                      <c:ptCount val="6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43D-4201-8069-8039AFB6B109}"/>
                  </c:ext>
                </c:extLst>
              </c15:ser>
            </c15:filteredBarSeries>
          </c:ext>
        </c:extLst>
      </c:barChart>
      <c:catAx>
        <c:axId val="1974949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950111"/>
        <c:crosses val="autoZero"/>
        <c:auto val="1"/>
        <c:lblAlgn val="ctr"/>
        <c:lblOffset val="100"/>
        <c:noMultiLvlLbl val="0"/>
      </c:catAx>
      <c:valAx>
        <c:axId val="1974950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49496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Available Seats by Class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2"/>
          <c:order val="2"/>
          <c:tx>
            <c:strRef>
              <c:f>Raw_Admission_Data!$H$7</c:f>
              <c:strCache>
                <c:ptCount val="1"/>
                <c:pt idx="0">
                  <c:v>Available Seats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Raw_Admission_Data!$B$8:$E$20</c15:sqref>
                  </c15:fullRef>
                  <c15:levelRef>
                    <c15:sqref>Raw_Admission_Data!$B$8:$B$20</c15:sqref>
                  </c15:levelRef>
                </c:ext>
              </c:extLst>
              <c:f>Raw_Admission_Data!$B$8:$B$20</c:f>
              <c:strCache>
                <c:ptCount val="12"/>
                <c:pt idx="1">
                  <c:v>Playgroup</c:v>
                </c:pt>
                <c:pt idx="3">
                  <c:v>Nursery</c:v>
                </c:pt>
                <c:pt idx="5">
                  <c:v>Kindergarten</c:v>
                </c:pt>
                <c:pt idx="7">
                  <c:v>Grade 1-5</c:v>
                </c:pt>
                <c:pt idx="9">
                  <c:v>Grade 6-8</c:v>
                </c:pt>
                <c:pt idx="11">
                  <c:v>Matric</c:v>
                </c:pt>
              </c:strCache>
            </c:strRef>
          </c:cat>
          <c:val>
            <c:numRef>
              <c:f>Raw_Admission_Data!$H$8:$H$20</c:f>
              <c:numCache>
                <c:formatCode>General</c:formatCode>
                <c:ptCount val="13"/>
                <c:pt idx="1">
                  <c:v>150</c:v>
                </c:pt>
                <c:pt idx="3">
                  <c:v>180</c:v>
                </c:pt>
                <c:pt idx="5">
                  <c:v>200</c:v>
                </c:pt>
                <c:pt idx="7">
                  <c:v>350</c:v>
                </c:pt>
                <c:pt idx="9">
                  <c:v>220</c:v>
                </c:pt>
                <c:pt idx="11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68-4554-BED0-316317D0D5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678296191"/>
        <c:axId val="67829907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Raw_Admission_Data!$F$7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Raw_Admission_Data!$B$8:$E$20</c15:sqref>
                        </c15:fullRef>
                        <c15:levelRef>
                          <c15:sqref>Raw_Admission_Data!$B$8:$B$20</c15:sqref>
                        </c15:levelRef>
                        <c15:formulaRef>
                          <c15:sqref>Raw_Admission_Data!$B$8:$B$20</c15:sqref>
                        </c15:formulaRef>
                      </c:ext>
                    </c:extLst>
                    <c:strCache>
                      <c:ptCount val="12"/>
                      <c:pt idx="1">
                        <c:v>Playgroup</c:v>
                      </c:pt>
                      <c:pt idx="3">
                        <c:v>Nursery</c:v>
                      </c:pt>
                      <c:pt idx="5">
                        <c:v>Kindergarten</c:v>
                      </c:pt>
                      <c:pt idx="7">
                        <c:v>Grade 1-5</c:v>
                      </c:pt>
                      <c:pt idx="9">
                        <c:v>Grade 6-8</c:v>
                      </c:pt>
                      <c:pt idx="11">
                        <c:v>Matric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Raw_Admission_Data!$F$8:$F$20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C768-4554-BED0-316317D0D5EC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Raw_Admission_Data!$G$7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Raw_Admission_Data!$B$8:$E$20</c15:sqref>
                        </c15:fullRef>
                        <c15:levelRef>
                          <c15:sqref>Raw_Admission_Data!$B$8:$B$20</c15:sqref>
                        </c15:levelRef>
                        <c15:formulaRef>
                          <c15:sqref>Raw_Admission_Data!$B$8:$B$20</c15:sqref>
                        </c15:formulaRef>
                      </c:ext>
                    </c:extLst>
                    <c:strCache>
                      <c:ptCount val="12"/>
                      <c:pt idx="1">
                        <c:v>Playgroup</c:v>
                      </c:pt>
                      <c:pt idx="3">
                        <c:v>Nursery</c:v>
                      </c:pt>
                      <c:pt idx="5">
                        <c:v>Kindergarten</c:v>
                      </c:pt>
                      <c:pt idx="7">
                        <c:v>Grade 1-5</c:v>
                      </c:pt>
                      <c:pt idx="9">
                        <c:v>Grade 6-8</c:v>
                      </c:pt>
                      <c:pt idx="11">
                        <c:v>Matric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Raw_Admission_Data!$G$8:$G$20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C768-4554-BED0-316317D0D5EC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Raw_Admission_Data!$I$7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Raw_Admission_Data!$B$8:$E$20</c15:sqref>
                        </c15:fullRef>
                        <c15:levelRef>
                          <c15:sqref>Raw_Admission_Data!$B$8:$B$20</c15:sqref>
                        </c15:levelRef>
                        <c15:formulaRef>
                          <c15:sqref>Raw_Admission_Data!$B$8:$B$20</c15:sqref>
                        </c15:formulaRef>
                      </c:ext>
                    </c:extLst>
                    <c:strCache>
                      <c:ptCount val="12"/>
                      <c:pt idx="1">
                        <c:v>Playgroup</c:v>
                      </c:pt>
                      <c:pt idx="3">
                        <c:v>Nursery</c:v>
                      </c:pt>
                      <c:pt idx="5">
                        <c:v>Kindergarten</c:v>
                      </c:pt>
                      <c:pt idx="7">
                        <c:v>Grade 1-5</c:v>
                      </c:pt>
                      <c:pt idx="9">
                        <c:v>Grade 6-8</c:v>
                      </c:pt>
                      <c:pt idx="11">
                        <c:v>Matric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Raw_Admission_Data!$I$8:$I$20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768-4554-BED0-316317D0D5E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Raw_Admission_Data!$J$7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Raw_Admission_Data!$B$8:$E$20</c15:sqref>
                        </c15:fullRef>
                        <c15:levelRef>
                          <c15:sqref>Raw_Admission_Data!$B$8:$B$20</c15:sqref>
                        </c15:levelRef>
                        <c15:formulaRef>
                          <c15:sqref>Raw_Admission_Data!$B$8:$B$20</c15:sqref>
                        </c15:formulaRef>
                      </c:ext>
                    </c:extLst>
                    <c:strCache>
                      <c:ptCount val="12"/>
                      <c:pt idx="1">
                        <c:v>Playgroup</c:v>
                      </c:pt>
                      <c:pt idx="3">
                        <c:v>Nursery</c:v>
                      </c:pt>
                      <c:pt idx="5">
                        <c:v>Kindergarten</c:v>
                      </c:pt>
                      <c:pt idx="7">
                        <c:v>Grade 1-5</c:v>
                      </c:pt>
                      <c:pt idx="9">
                        <c:v>Grade 6-8</c:v>
                      </c:pt>
                      <c:pt idx="11">
                        <c:v>Matric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Raw_Admission_Data!$J$8:$J$20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768-4554-BED0-316317D0D5EC}"/>
                  </c:ext>
                </c:extLst>
              </c15:ser>
            </c15:filteredBarSeries>
          </c:ext>
        </c:extLst>
      </c:barChart>
      <c:catAx>
        <c:axId val="6782961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299071"/>
        <c:crosses val="autoZero"/>
        <c:auto val="1"/>
        <c:lblAlgn val="ctr"/>
        <c:lblOffset val="100"/>
        <c:noMultiLvlLbl val="0"/>
      </c:catAx>
      <c:valAx>
        <c:axId val="678299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296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Applications Received per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tx>
            <c:strRef>
              <c:f>Raw_Admission_Data!$R$21</c:f>
              <c:strCache>
                <c:ptCount val="1"/>
                <c:pt idx="0">
                  <c:v>Playgroup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Raw_Admission_Data!$S$19:$U$19</c:f>
              <c:strCache>
                <c:ptCount val="2"/>
                <c:pt idx="1">
                  <c:v>Applications</c:v>
                </c:pt>
              </c:strCache>
            </c:strRef>
          </c:cat>
          <c:val>
            <c:numRef>
              <c:f>Raw_Admission_Data!$S$21:$U$21</c:f>
              <c:numCache>
                <c:formatCode>General</c:formatCode>
                <c:ptCount val="3"/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6D0-4BBC-A198-FACD7E5F0D2C}"/>
            </c:ext>
          </c:extLst>
        </c:ser>
        <c:ser>
          <c:idx val="3"/>
          <c:order val="3"/>
          <c:tx>
            <c:strRef>
              <c:f>Raw_Admission_Data!$R$23</c:f>
              <c:strCache>
                <c:ptCount val="1"/>
                <c:pt idx="0">
                  <c:v>Nursery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Raw_Admission_Data!$S$19:$U$19</c:f>
              <c:strCache>
                <c:ptCount val="2"/>
                <c:pt idx="1">
                  <c:v>Applications</c:v>
                </c:pt>
              </c:strCache>
            </c:strRef>
          </c:cat>
          <c:val>
            <c:numRef>
              <c:f>Raw_Admission_Data!$S$23:$U$23</c:f>
              <c:numCache>
                <c:formatCode>General</c:formatCode>
                <c:ptCount val="3"/>
                <c:pt idx="1">
                  <c:v>160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6D0-4BBC-A198-FACD7E5F0D2C}"/>
            </c:ext>
          </c:extLst>
        </c:ser>
        <c:ser>
          <c:idx val="5"/>
          <c:order val="5"/>
          <c:tx>
            <c:strRef>
              <c:f>Raw_Admission_Data!$R$25</c:f>
              <c:strCache>
                <c:ptCount val="1"/>
                <c:pt idx="0">
                  <c:v>KG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Raw_Admission_Data!$S$19:$U$19</c:f>
              <c:strCache>
                <c:ptCount val="2"/>
                <c:pt idx="1">
                  <c:v>Applications</c:v>
                </c:pt>
              </c:strCache>
            </c:strRef>
          </c:cat>
          <c:val>
            <c:numRef>
              <c:f>Raw_Admission_Data!$S$25:$U$25</c:f>
              <c:numCache>
                <c:formatCode>General</c:formatCode>
                <c:ptCount val="3"/>
                <c:pt idx="1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6D0-4BBC-A198-FACD7E5F0D2C}"/>
            </c:ext>
          </c:extLst>
        </c:ser>
        <c:ser>
          <c:idx val="7"/>
          <c:order val="7"/>
          <c:tx>
            <c:strRef>
              <c:f>Raw_Admission_Data!$R$27</c:f>
              <c:strCache>
                <c:ptCount val="1"/>
                <c:pt idx="0">
                  <c:v>Grade 1–5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Raw_Admission_Data!$S$19:$U$19</c:f>
              <c:strCache>
                <c:ptCount val="2"/>
                <c:pt idx="1">
                  <c:v>Applications</c:v>
                </c:pt>
              </c:strCache>
            </c:strRef>
          </c:cat>
          <c:val>
            <c:numRef>
              <c:f>Raw_Admission_Data!$S$27:$U$27</c:f>
              <c:numCache>
                <c:formatCode>General</c:formatCode>
                <c:ptCount val="3"/>
                <c:pt idx="1">
                  <c:v>250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6D0-4BBC-A198-FACD7E5F0D2C}"/>
            </c:ext>
          </c:extLst>
        </c:ser>
        <c:ser>
          <c:idx val="9"/>
          <c:order val="9"/>
          <c:tx>
            <c:strRef>
              <c:f>Raw_Admission_Data!$R$29</c:f>
              <c:strCache>
                <c:ptCount val="1"/>
                <c:pt idx="0">
                  <c:v>Grade 6–8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Raw_Admission_Data!$S$19:$U$19</c:f>
              <c:strCache>
                <c:ptCount val="2"/>
                <c:pt idx="1">
                  <c:v>Applications</c:v>
                </c:pt>
              </c:strCache>
            </c:strRef>
          </c:cat>
          <c:val>
            <c:numRef>
              <c:f>Raw_Admission_Data!$S$29:$U$29</c:f>
              <c:numCache>
                <c:formatCode>General</c:formatCode>
                <c:ptCount val="3"/>
                <c:pt idx="1">
                  <c:v>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6D0-4BBC-A198-FACD7E5F0D2C}"/>
            </c:ext>
          </c:extLst>
        </c:ser>
        <c:ser>
          <c:idx val="11"/>
          <c:order val="11"/>
          <c:tx>
            <c:strRef>
              <c:f>Raw_Admission_Data!$R$31</c:f>
              <c:strCache>
                <c:ptCount val="1"/>
                <c:pt idx="0">
                  <c:v>Matric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Raw_Admission_Data!$S$19:$U$19</c:f>
              <c:strCache>
                <c:ptCount val="2"/>
                <c:pt idx="1">
                  <c:v>Applications</c:v>
                </c:pt>
              </c:strCache>
            </c:strRef>
          </c:cat>
          <c:val>
            <c:numRef>
              <c:f>Raw_Admission_Data!$S$31:$U$31</c:f>
              <c:numCache>
                <c:formatCode>General</c:formatCode>
                <c:ptCount val="3"/>
                <c:pt idx="1">
                  <c:v>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6D0-4BBC-A198-FACD7E5F0D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73003327"/>
        <c:axId val="197301628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Raw_Admission_Data!$R$20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Raw_Admission_Data!$S$19:$U$19</c15:sqref>
                        </c15:formulaRef>
                      </c:ext>
                    </c:extLst>
                    <c:strCache>
                      <c:ptCount val="2"/>
                      <c:pt idx="1">
                        <c:v>Applications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Raw_Admission_Data!$S$20:$U$20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6-B6D0-4BBC-A198-FACD7E5F0D2C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Raw_Admission_Data!$R$22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Raw_Admission_Data!$S$19:$U$19</c15:sqref>
                        </c15:formulaRef>
                      </c:ext>
                    </c:extLst>
                    <c:strCache>
                      <c:ptCount val="2"/>
                      <c:pt idx="1">
                        <c:v>Applications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Raw_Admission_Data!$S$22:$U$22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6D0-4BBC-A198-FACD7E5F0D2C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Raw_Admission_Data!$R$24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Raw_Admission_Data!$S$19:$U$19</c15:sqref>
                        </c15:formulaRef>
                      </c:ext>
                    </c:extLst>
                    <c:strCache>
                      <c:ptCount val="2"/>
                      <c:pt idx="1">
                        <c:v>Applications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Raw_Admission_Data!$S$24:$U$24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6D0-4BBC-A198-FACD7E5F0D2C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Raw_Admission_Data!$R$26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Raw_Admission_Data!$S$19:$U$19</c15:sqref>
                        </c15:formulaRef>
                      </c:ext>
                    </c:extLst>
                    <c:strCache>
                      <c:ptCount val="2"/>
                      <c:pt idx="1">
                        <c:v>Applications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Raw_Admission_Data!$S$26:$U$26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6D0-4BBC-A198-FACD7E5F0D2C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Raw_Admission_Data!$R$28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Raw_Admission_Data!$S$19:$U$19</c15:sqref>
                        </c15:formulaRef>
                      </c:ext>
                    </c:extLst>
                    <c:strCache>
                      <c:ptCount val="2"/>
                      <c:pt idx="1">
                        <c:v>Applications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Raw_Admission_Data!$S$28:$U$28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6D0-4BBC-A198-FACD7E5F0D2C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Raw_Admission_Data!$R$30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Raw_Admission_Data!$S$19:$U$19</c15:sqref>
                        </c15:formulaRef>
                      </c:ext>
                    </c:extLst>
                    <c:strCache>
                      <c:ptCount val="2"/>
                      <c:pt idx="1">
                        <c:v>Applications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Raw_Admission_Data!$S$30:$U$30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6D0-4BBC-A198-FACD7E5F0D2C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Raw_Admission_Data!$R$32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Raw_Admission_Data!$S$19:$U$19</c15:sqref>
                        </c15:formulaRef>
                      </c:ext>
                    </c:extLst>
                    <c:strCache>
                      <c:ptCount val="2"/>
                      <c:pt idx="1">
                        <c:v>Applications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Raw_Admission_Data!$S$32:$U$32</c15:sqref>
                        </c15:formulaRef>
                      </c:ext>
                    </c:extLst>
                    <c:numCache>
                      <c:formatCode>General</c:formatCode>
                      <c:ptCount val="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6D0-4BBC-A198-FACD7E5F0D2C}"/>
                  </c:ext>
                </c:extLst>
              </c15:ser>
            </c15:filteredBarSeries>
          </c:ext>
        </c:extLst>
      </c:barChart>
      <c:catAx>
        <c:axId val="1973003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16287"/>
        <c:crosses val="autoZero"/>
        <c:auto val="1"/>
        <c:lblAlgn val="ctr"/>
        <c:lblOffset val="100"/>
        <c:noMultiLvlLbl val="0"/>
      </c:catAx>
      <c:valAx>
        <c:axId val="197301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3003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Fee by Class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2"/>
          <c:order val="2"/>
          <c:tx>
            <c:strRef>
              <c:f>Raw_Admission_Data!$H$24</c:f>
              <c:strCache>
                <c:ptCount val="1"/>
                <c:pt idx="0">
                  <c:v>Monthly Fee (PKR)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Raw_Admission_Data!$B$25:$E$37</c15:sqref>
                  </c15:fullRef>
                  <c15:levelRef>
                    <c15:sqref>Raw_Admission_Data!$B$25:$B$37</c15:sqref>
                  </c15:levelRef>
                </c:ext>
              </c:extLst>
              <c:f>Raw_Admission_Data!$B$25:$B$37</c:f>
              <c:strCache>
                <c:ptCount val="12"/>
                <c:pt idx="1">
                  <c:v>Playgroup</c:v>
                </c:pt>
                <c:pt idx="3">
                  <c:v>Nursery</c:v>
                </c:pt>
                <c:pt idx="5">
                  <c:v>Kindergarten</c:v>
                </c:pt>
                <c:pt idx="7">
                  <c:v>Grade 1-5</c:v>
                </c:pt>
                <c:pt idx="9">
                  <c:v>Grade 6-8</c:v>
                </c:pt>
                <c:pt idx="11">
                  <c:v>Matric</c:v>
                </c:pt>
              </c:strCache>
            </c:strRef>
          </c:cat>
          <c:val>
            <c:numRef>
              <c:f>Raw_Admission_Data!$H$25:$H$37</c:f>
              <c:numCache>
                <c:formatCode>General</c:formatCode>
                <c:ptCount val="13"/>
                <c:pt idx="1">
                  <c:v>2500</c:v>
                </c:pt>
                <c:pt idx="3">
                  <c:v>2800</c:v>
                </c:pt>
                <c:pt idx="5">
                  <c:v>3000</c:v>
                </c:pt>
                <c:pt idx="7">
                  <c:v>3500</c:v>
                </c:pt>
                <c:pt idx="9">
                  <c:v>4000</c:v>
                </c:pt>
                <c:pt idx="11">
                  <c:v>4500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92-4EED-BAB9-EF42FAEA5E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1671871"/>
        <c:axId val="192168819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Raw_Admission_Data!$F$24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Raw_Admission_Data!$B$25:$E$37</c15:sqref>
                        </c15:fullRef>
                        <c15:levelRef>
                          <c15:sqref>Raw_Admission_Data!$B$25:$B$37</c15:sqref>
                        </c15:levelRef>
                        <c15:formulaRef>
                          <c15:sqref>Raw_Admission_Data!$B$25:$B$37</c15:sqref>
                        </c15:formulaRef>
                      </c:ext>
                    </c:extLst>
                    <c:strCache>
                      <c:ptCount val="12"/>
                      <c:pt idx="1">
                        <c:v>Playgroup</c:v>
                      </c:pt>
                      <c:pt idx="3">
                        <c:v>Nursery</c:v>
                      </c:pt>
                      <c:pt idx="5">
                        <c:v>Kindergarten</c:v>
                      </c:pt>
                      <c:pt idx="7">
                        <c:v>Grade 1-5</c:v>
                      </c:pt>
                      <c:pt idx="9">
                        <c:v>Grade 6-8</c:v>
                      </c:pt>
                      <c:pt idx="11">
                        <c:v>Matric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Raw_Admission_Data!$F$25:$F$37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B992-4EED-BAB9-EF42FAEA5E1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Raw_Admission_Data!$G$24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Raw_Admission_Data!$B$25:$E$37</c15:sqref>
                        </c15:fullRef>
                        <c15:levelRef>
                          <c15:sqref>Raw_Admission_Data!$B$25:$B$37</c15:sqref>
                        </c15:levelRef>
                        <c15:formulaRef>
                          <c15:sqref>Raw_Admission_Data!$B$25:$B$37</c15:sqref>
                        </c15:formulaRef>
                      </c:ext>
                    </c:extLst>
                    <c:strCache>
                      <c:ptCount val="12"/>
                      <c:pt idx="1">
                        <c:v>Playgroup</c:v>
                      </c:pt>
                      <c:pt idx="3">
                        <c:v>Nursery</c:v>
                      </c:pt>
                      <c:pt idx="5">
                        <c:v>Kindergarten</c:v>
                      </c:pt>
                      <c:pt idx="7">
                        <c:v>Grade 1-5</c:v>
                      </c:pt>
                      <c:pt idx="9">
                        <c:v>Grade 6-8</c:v>
                      </c:pt>
                      <c:pt idx="11">
                        <c:v>Matric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Raw_Admission_Data!$G$25:$G$37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B992-4EED-BAB9-EF42FAEA5E1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Raw_Admission_Data!$I$24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Raw_Admission_Data!$B$25:$E$37</c15:sqref>
                        </c15:fullRef>
                        <c15:levelRef>
                          <c15:sqref>Raw_Admission_Data!$B$25:$B$37</c15:sqref>
                        </c15:levelRef>
                        <c15:formulaRef>
                          <c15:sqref>Raw_Admission_Data!$B$25:$B$37</c15:sqref>
                        </c15:formulaRef>
                      </c:ext>
                    </c:extLst>
                    <c:strCache>
                      <c:ptCount val="12"/>
                      <c:pt idx="1">
                        <c:v>Playgroup</c:v>
                      </c:pt>
                      <c:pt idx="3">
                        <c:v>Nursery</c:v>
                      </c:pt>
                      <c:pt idx="5">
                        <c:v>Kindergarten</c:v>
                      </c:pt>
                      <c:pt idx="7">
                        <c:v>Grade 1-5</c:v>
                      </c:pt>
                      <c:pt idx="9">
                        <c:v>Grade 6-8</c:v>
                      </c:pt>
                      <c:pt idx="11">
                        <c:v>Matric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Raw_Admission_Data!$I$25:$I$37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992-4EED-BAB9-EF42FAEA5E1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Raw_Admission_Data!$J$24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Raw_Admission_Data!$B$25:$E$37</c15:sqref>
                        </c15:fullRef>
                        <c15:levelRef>
                          <c15:sqref>Raw_Admission_Data!$B$25:$B$37</c15:sqref>
                        </c15:levelRef>
                        <c15:formulaRef>
                          <c15:sqref>Raw_Admission_Data!$B$25:$B$37</c15:sqref>
                        </c15:formulaRef>
                      </c:ext>
                    </c:extLst>
                    <c:strCache>
                      <c:ptCount val="12"/>
                      <c:pt idx="1">
                        <c:v>Playgroup</c:v>
                      </c:pt>
                      <c:pt idx="3">
                        <c:v>Nursery</c:v>
                      </c:pt>
                      <c:pt idx="5">
                        <c:v>Kindergarten</c:v>
                      </c:pt>
                      <c:pt idx="7">
                        <c:v>Grade 1-5</c:v>
                      </c:pt>
                      <c:pt idx="9">
                        <c:v>Grade 6-8</c:v>
                      </c:pt>
                      <c:pt idx="11">
                        <c:v>Matric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Raw_Admission_Data!$J$25:$J$37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992-4EED-BAB9-EF42FAEA5E18}"/>
                  </c:ext>
                </c:extLst>
              </c15:ser>
            </c15:filteredBarSeries>
          </c:ext>
        </c:extLst>
      </c:barChart>
      <c:catAx>
        <c:axId val="19216718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88191"/>
        <c:crosses val="autoZero"/>
        <c:auto val="1"/>
        <c:lblAlgn val="ctr"/>
        <c:lblOffset val="100"/>
        <c:noMultiLvlLbl val="0"/>
      </c:catAx>
      <c:valAx>
        <c:axId val="1921688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16718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Daily Teaching Hours by Class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1"/>
          <c:order val="1"/>
          <c:tx>
            <c:strRef>
              <c:f>Raw_Admission_Data!$N$24</c:f>
              <c:strCache>
                <c:ptCount val="1"/>
                <c:pt idx="0">
                  <c:v>Daily Classes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Raw_Admission_Data!$L$25:$L$37</c:f>
              <c:strCache>
                <c:ptCount val="12"/>
                <c:pt idx="1">
                  <c:v>Playgroup</c:v>
                </c:pt>
                <c:pt idx="3">
                  <c:v>Nursery</c:v>
                </c:pt>
                <c:pt idx="5">
                  <c:v>Kindergarten</c:v>
                </c:pt>
                <c:pt idx="7">
                  <c:v>Grade 1-5</c:v>
                </c:pt>
                <c:pt idx="9">
                  <c:v>Grade 6-8</c:v>
                </c:pt>
                <c:pt idx="11">
                  <c:v>Matric</c:v>
                </c:pt>
              </c:strCache>
            </c:strRef>
          </c:cat>
          <c:val>
            <c:numRef>
              <c:f>Raw_Admission_Data!$N$25:$N$37</c:f>
              <c:numCache>
                <c:formatCode>General</c:formatCode>
                <c:ptCount val="13"/>
                <c:pt idx="1">
                  <c:v>4</c:v>
                </c:pt>
                <c:pt idx="3">
                  <c:v>5</c:v>
                </c:pt>
                <c:pt idx="5">
                  <c:v>6</c:v>
                </c:pt>
                <c:pt idx="7">
                  <c:v>6</c:v>
                </c:pt>
                <c:pt idx="9">
                  <c:v>7</c:v>
                </c:pt>
                <c:pt idx="11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97-43B3-BB9C-697B4E180BEE}"/>
            </c:ext>
          </c:extLst>
        </c:ser>
        <c:ser>
          <c:idx val="2"/>
          <c:order val="2"/>
          <c:tx>
            <c:strRef>
              <c:f>Raw_Admission_Data!$O$24</c:f>
              <c:strCache>
                <c:ptCount val="1"/>
                <c:pt idx="0">
                  <c:v>Hours per Day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Raw_Admission_Data!$L$25:$L$37</c:f>
              <c:strCache>
                <c:ptCount val="12"/>
                <c:pt idx="1">
                  <c:v>Playgroup</c:v>
                </c:pt>
                <c:pt idx="3">
                  <c:v>Nursery</c:v>
                </c:pt>
                <c:pt idx="5">
                  <c:v>Kindergarten</c:v>
                </c:pt>
                <c:pt idx="7">
                  <c:v>Grade 1-5</c:v>
                </c:pt>
                <c:pt idx="9">
                  <c:v>Grade 6-8</c:v>
                </c:pt>
                <c:pt idx="11">
                  <c:v>Matric</c:v>
                </c:pt>
              </c:strCache>
            </c:strRef>
          </c:cat>
          <c:val>
            <c:numRef>
              <c:f>Raw_Admission_Data!$O$25:$O$37</c:f>
              <c:numCache>
                <c:formatCode>General</c:formatCode>
                <c:ptCount val="13"/>
                <c:pt idx="1">
                  <c:v>3</c:v>
                </c:pt>
                <c:pt idx="3">
                  <c:v>3.5</c:v>
                </c:pt>
                <c:pt idx="5">
                  <c:v>4</c:v>
                </c:pt>
                <c:pt idx="7">
                  <c:v>5</c:v>
                </c:pt>
                <c:pt idx="9">
                  <c:v>6</c:v>
                </c:pt>
                <c:pt idx="11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97-43B3-BB9C-697B4E180B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72968975"/>
        <c:axId val="678476047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Raw_Admission_Data!$M$24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Raw_Admission_Data!$L$25:$L$37</c15:sqref>
                        </c15:formulaRef>
                      </c:ext>
                    </c:extLst>
                    <c:strCache>
                      <c:ptCount val="12"/>
                      <c:pt idx="1">
                        <c:v>Playgroup</c:v>
                      </c:pt>
                      <c:pt idx="3">
                        <c:v>Nursery</c:v>
                      </c:pt>
                      <c:pt idx="5">
                        <c:v>Kindergarten</c:v>
                      </c:pt>
                      <c:pt idx="7">
                        <c:v>Grade 1-5</c:v>
                      </c:pt>
                      <c:pt idx="9">
                        <c:v>Grade 6-8</c:v>
                      </c:pt>
                      <c:pt idx="11">
                        <c:v>Matric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Raw_Admission_Data!$M$25:$M$37</c15:sqref>
                        </c15:formulaRef>
                      </c:ext>
                    </c:extLst>
                    <c:numCache>
                      <c:formatCode>General</c:formatCode>
                      <c:ptCount val="13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7297-43B3-BB9C-697B4E180BEE}"/>
                  </c:ext>
                </c:extLst>
              </c15:ser>
            </c15:filteredBarSeries>
          </c:ext>
        </c:extLst>
      </c:barChart>
      <c:catAx>
        <c:axId val="19729689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476047"/>
        <c:crosses val="autoZero"/>
        <c:auto val="1"/>
        <c:lblAlgn val="ctr"/>
        <c:lblOffset val="100"/>
        <c:noMultiLvlLbl val="0"/>
      </c:catAx>
      <c:valAx>
        <c:axId val="678476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96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Website Page Visits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D8-47FA-AF13-B04A57711AA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D8-47FA-AF13-B04A57711AA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3D8-47FA-AF13-B04A57711AA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83D8-47FA-AF13-B04A57711AA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3D8-47FA-AF13-B04A57711AA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3D8-47FA-AF13-B04A57711AA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83D8-47FA-AF13-B04A57711AA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3D8-47FA-AF13-B04A57711AA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3D8-47FA-AF13-B04A57711AA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3D8-47FA-AF13-B04A57711AA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Raw_Admission_Data!$N$9:$N$18</c:f>
              <c:numCache>
                <c:formatCode>General</c:formatCode>
                <c:ptCount val="10"/>
                <c:pt idx="0">
                  <c:v>900</c:v>
                </c:pt>
                <c:pt idx="2">
                  <c:v>620</c:v>
                </c:pt>
                <c:pt idx="4">
                  <c:v>750</c:v>
                </c:pt>
                <c:pt idx="6">
                  <c:v>400</c:v>
                </c:pt>
                <c:pt idx="8">
                  <c:v>300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83D8-47FA-AF13-B04A57711AA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1"/>
                <c:order val="1"/>
                <c:dPt>
                  <c:idx val="0"/>
                  <c:bubble3D val="0"/>
                  <c:spPr>
                    <a:solidFill>
                      <a:schemeClr val="accent1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6-83D8-47FA-AF13-B04A57711AA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8-83D8-47FA-AF13-B04A57711AA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A-83D8-47FA-AF13-B04A57711AA2}"/>
                    </c:ext>
                  </c:extLst>
                </c:dPt>
                <c:dPt>
                  <c:idx val="3"/>
                  <c:bubble3D val="0"/>
                  <c:spPr>
                    <a:solidFill>
                      <a:schemeClr val="accent4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C-83D8-47FA-AF13-B04A57711AA2}"/>
                    </c:ext>
                  </c:extLst>
                </c:dPt>
                <c:dPt>
                  <c:idx val="4"/>
                  <c:bubble3D val="0"/>
                  <c:spPr>
                    <a:solidFill>
                      <a:schemeClr val="accent5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1E-83D8-47FA-AF13-B04A57711AA2}"/>
                    </c:ext>
                  </c:extLst>
                </c:dPt>
                <c:dPt>
                  <c:idx val="5"/>
                  <c:bubble3D val="0"/>
                  <c:spPr>
                    <a:solidFill>
                      <a:schemeClr val="accent6"/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0-83D8-47FA-AF13-B04A57711AA2}"/>
                    </c:ext>
                  </c:extLst>
                </c:dPt>
                <c:dPt>
                  <c:idx val="6"/>
                  <c:bubble3D val="0"/>
                  <c:spPr>
                    <a:solidFill>
                      <a:schemeClr val="accent1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2-83D8-47FA-AF13-B04A57711AA2}"/>
                    </c:ext>
                  </c:extLst>
                </c:dPt>
                <c:dPt>
                  <c:idx val="7"/>
                  <c:bubble3D val="0"/>
                  <c:spPr>
                    <a:solidFill>
                      <a:schemeClr val="accent2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4-83D8-47FA-AF13-B04A57711AA2}"/>
                    </c:ext>
                  </c:extLst>
                </c:dPt>
                <c:dPt>
                  <c:idx val="8"/>
                  <c:bubble3D val="0"/>
                  <c:spPr>
                    <a:solidFill>
                      <a:schemeClr val="accent3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6-83D8-47FA-AF13-B04A57711AA2}"/>
                    </c:ext>
                  </c:extLst>
                </c:dPt>
                <c:dPt>
                  <c:idx val="9"/>
                  <c:bubble3D val="0"/>
                  <c:spPr>
                    <a:solidFill>
                      <a:schemeClr val="accent4">
                        <a:lumMod val="60000"/>
                      </a:schemeClr>
                    </a:solidFill>
                    <a:ln w="19050">
                      <a:solidFill>
                        <a:schemeClr val="lt1"/>
                      </a:solidFill>
                    </a:ln>
                    <a:effectLst/>
                  </c:spPr>
                  <c:extLst>
                    <c:ext xmlns:c16="http://schemas.microsoft.com/office/drawing/2014/chart" uri="{C3380CC4-5D6E-409C-BE32-E72D297353CC}">
                      <c16:uniqueId val="{00000028-83D8-47FA-AF13-B04A57711AA2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en-US"/>
                    </a:p>
                  </c:txPr>
                  <c:dLblPos val="bestFi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Raw_Admission_Data!$O$9:$O$18</c15:sqref>
                        </c15:formulaRef>
                      </c:ext>
                    </c:extLst>
                    <c:numCache>
                      <c:formatCode>General</c:formatCode>
                      <c:ptCount val="10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29-83D8-47FA-AF13-B04A57711AA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30480</xdr:colOff>
      <xdr:row>6</xdr:row>
      <xdr:rowOff>60960</xdr:rowOff>
    </xdr:from>
    <xdr:to>
      <xdr:col>22</xdr:col>
      <xdr:colOff>594360</xdr:colOff>
      <xdr:row>21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9703DEF-3096-DCD8-439E-D0E688078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129540</xdr:colOff>
      <xdr:row>6</xdr:row>
      <xdr:rowOff>60960</xdr:rowOff>
    </xdr:from>
    <xdr:to>
      <xdr:col>8</xdr:col>
      <xdr:colOff>434340</xdr:colOff>
      <xdr:row>21</xdr:row>
      <xdr:rowOff>60960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58972E3-C6C6-D4E4-4781-CC04B90DBC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68580</xdr:colOff>
      <xdr:row>25</xdr:row>
      <xdr:rowOff>60960</xdr:rowOff>
    </xdr:from>
    <xdr:to>
      <xdr:col>8</xdr:col>
      <xdr:colOff>373380</xdr:colOff>
      <xdr:row>40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11CFDF-9C1A-89DE-1D2D-08FEB38766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144780</xdr:colOff>
      <xdr:row>25</xdr:row>
      <xdr:rowOff>99060</xdr:rowOff>
    </xdr:from>
    <xdr:to>
      <xdr:col>22</xdr:col>
      <xdr:colOff>449580</xdr:colOff>
      <xdr:row>40</xdr:row>
      <xdr:rowOff>99060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34704CC-1949-69A6-5E5B-530D3F7D4F0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60960</xdr:colOff>
      <xdr:row>25</xdr:row>
      <xdr:rowOff>76200</xdr:rowOff>
    </xdr:from>
    <xdr:to>
      <xdr:col>14</xdr:col>
      <xdr:colOff>518160</xdr:colOff>
      <xdr:row>40</xdr:row>
      <xdr:rowOff>76200</xdr:rowOff>
    </xdr:to>
    <xdr:graphicFrame macro="">
      <xdr:nvGraphicFramePr>
        <xdr:cNvPr id="6" name="Chart 6">
          <a:extLst>
            <a:ext uri="{FF2B5EF4-FFF2-40B4-BE49-F238E27FC236}">
              <a16:creationId xmlns:a16="http://schemas.microsoft.com/office/drawing/2014/main" id="{72EFA7DA-C5C9-CD3B-9D13-E91E851C3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571500</xdr:colOff>
      <xdr:row>44</xdr:row>
      <xdr:rowOff>68580</xdr:rowOff>
    </xdr:from>
    <xdr:to>
      <xdr:col>15</xdr:col>
      <xdr:colOff>0</xdr:colOff>
      <xdr:row>59</xdr:row>
      <xdr:rowOff>68580</xdr:rowOff>
    </xdr:to>
    <xdr:graphicFrame macro="">
      <xdr:nvGraphicFramePr>
        <xdr:cNvPr id="7" name="Chart 8">
          <a:extLst>
            <a:ext uri="{FF2B5EF4-FFF2-40B4-BE49-F238E27FC236}">
              <a16:creationId xmlns:a16="http://schemas.microsoft.com/office/drawing/2014/main" id="{E5F1ED2C-1A1A-60BF-FB94-03FE9BF982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Gallery">
  <a:themeElements>
    <a:clrScheme name="Gallery">
      <a:dk1>
        <a:sysClr val="windowText" lastClr="000000"/>
      </a:dk1>
      <a:lt1>
        <a:sysClr val="window" lastClr="FFFFFF"/>
      </a:lt1>
      <a:dk2>
        <a:srgbClr val="454545"/>
      </a:dk2>
      <a:lt2>
        <a:srgbClr val="DFDBD5"/>
      </a:lt2>
      <a:accent1>
        <a:srgbClr val="B71E42"/>
      </a:accent1>
      <a:accent2>
        <a:srgbClr val="DE478E"/>
      </a:accent2>
      <a:accent3>
        <a:srgbClr val="BC72F0"/>
      </a:accent3>
      <a:accent4>
        <a:srgbClr val="795FAF"/>
      </a:accent4>
      <a:accent5>
        <a:srgbClr val="586EA6"/>
      </a:accent5>
      <a:accent6>
        <a:srgbClr val="6892A0"/>
      </a:accent6>
      <a:hlink>
        <a:srgbClr val="FA2B5C"/>
      </a:hlink>
      <a:folHlink>
        <a:srgbClr val="BC658E"/>
      </a:folHlink>
    </a:clrScheme>
    <a:fontScheme name="Gallery">
      <a:majorFont>
        <a:latin typeface="Gill Sans MT" panose="020B0502020104020203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Gill Sans MT" panose="020B0502020104020203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Gallery">
      <a:fillStyleLst>
        <a:solidFill>
          <a:schemeClr val="phClr"/>
        </a:solidFill>
        <a:gradFill rotWithShape="1">
          <a:gsLst>
            <a:gs pos="0">
              <a:schemeClr val="phClr">
                <a:tint val="54000"/>
                <a:alpha val="100000"/>
                <a:satMod val="105000"/>
                <a:lumMod val="110000"/>
              </a:schemeClr>
            </a:gs>
            <a:gs pos="100000">
              <a:schemeClr val="phClr">
                <a:tint val="78000"/>
                <a:alpha val="92000"/>
                <a:satMod val="109000"/>
                <a:lum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satMod val="110000"/>
                <a:lumMod val="104000"/>
              </a:schemeClr>
            </a:gs>
            <a:gs pos="69000">
              <a:schemeClr val="phClr">
                <a:shade val="88000"/>
                <a:satMod val="130000"/>
                <a:lumMod val="92000"/>
              </a:schemeClr>
            </a:gs>
            <a:gs pos="100000">
              <a:schemeClr val="phClr">
                <a:shade val="78000"/>
                <a:satMod val="130000"/>
                <a:lumMod val="92000"/>
              </a:schemeClr>
            </a:gs>
          </a:gsLst>
          <a:lin ang="5400000" scaled="0"/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2225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0800" dist="50800" dir="5400000" sx="96000" sy="96000" rotWithShape="0">
              <a:srgbClr val="000000">
                <a:alpha val="48000"/>
              </a:srgbClr>
            </a:outerShdw>
          </a:effectLst>
          <a:scene3d>
            <a:camera prst="orthographicFront">
              <a:rot lat="0" lon="0" rev="0"/>
            </a:camera>
            <a:lightRig rig="balanced" dir="t">
              <a:rot lat="0" lon="0" rev="1080000"/>
            </a:lightRig>
          </a:scene3d>
          <a:sp3d>
            <a:bevelT w="38100" h="12700" prst="softRound"/>
          </a:sp3d>
        </a:effectStyle>
      </a:effectStyleLst>
      <a:bgFillStyleLst>
        <a:solidFill>
          <a:schemeClr val="phClr"/>
        </a:solidFill>
        <a:solidFill>
          <a:schemeClr val="phClr"/>
        </a:solidFill>
        <a:gradFill rotWithShape="1">
          <a:gsLst>
            <a:gs pos="0">
              <a:schemeClr val="phClr">
                <a:tint val="94000"/>
                <a:satMod val="80000"/>
                <a:lumMod val="106000"/>
              </a:schemeClr>
            </a:gs>
            <a:gs pos="100000">
              <a:schemeClr val="phClr">
                <a:shade val="80000"/>
              </a:schemeClr>
            </a:gs>
          </a:gsLst>
          <a:path path="circle">
            <a:fillToRect l="43000" r="43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Gallery" id="{BBFCD31E-59A1-489D-B089-A3EAD7CAE12E}" vid="{F5E91637-A7B6-4E27-B710-77DA7014EE1E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7"/>
  <sheetViews>
    <sheetView tabSelected="1" workbookViewId="0">
      <selection activeCell="K17" sqref="K17"/>
    </sheetView>
  </sheetViews>
  <sheetFormatPr defaultRowHeight="18" x14ac:dyDescent="0.5"/>
  <sheetData>
    <row r="1" spans="1:23" x14ac:dyDescent="0.5">
      <c r="A1" s="19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</row>
    <row r="2" spans="1:23" x14ac:dyDescent="0.5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</row>
    <row r="3" spans="1:23" x14ac:dyDescent="0.5">
      <c r="A3" s="20"/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</row>
    <row r="5" spans="1:23" x14ac:dyDescent="0.5">
      <c r="B5" s="6" t="s">
        <v>38</v>
      </c>
      <c r="C5" s="6"/>
      <c r="D5" s="6"/>
      <c r="E5" s="6"/>
      <c r="F5" s="6"/>
      <c r="G5" s="6"/>
      <c r="H5" s="6"/>
      <c r="I5" s="6"/>
      <c r="J5" s="6"/>
      <c r="L5" s="6" t="s">
        <v>39</v>
      </c>
      <c r="M5" s="6"/>
      <c r="N5" s="6"/>
      <c r="O5" s="6"/>
      <c r="R5" s="6" t="s">
        <v>40</v>
      </c>
      <c r="S5" s="6"/>
      <c r="T5" s="6"/>
      <c r="U5" s="6"/>
    </row>
    <row r="6" spans="1:23" x14ac:dyDescent="0.5">
      <c r="B6" s="6"/>
      <c r="C6" s="6"/>
      <c r="D6" s="6"/>
      <c r="E6" s="6"/>
      <c r="F6" s="6"/>
      <c r="G6" s="6"/>
      <c r="H6" s="6"/>
      <c r="I6" s="6"/>
      <c r="J6" s="6"/>
      <c r="L6" s="6"/>
      <c r="M6" s="6"/>
      <c r="N6" s="6"/>
      <c r="O6" s="6"/>
      <c r="R6" s="6"/>
      <c r="S6" s="6"/>
      <c r="T6" s="6"/>
      <c r="U6" s="6"/>
    </row>
    <row r="7" spans="1:23" x14ac:dyDescent="0.5">
      <c r="B7" s="10" t="s">
        <v>1</v>
      </c>
      <c r="C7" s="11"/>
      <c r="D7" s="11"/>
      <c r="E7" s="10" t="s">
        <v>2</v>
      </c>
      <c r="F7" s="11"/>
      <c r="G7" s="11"/>
      <c r="H7" s="10" t="s">
        <v>3</v>
      </c>
      <c r="I7" s="11"/>
      <c r="J7" s="11"/>
      <c r="L7" s="8" t="s">
        <v>23</v>
      </c>
      <c r="M7" s="8"/>
      <c r="N7" s="8" t="s">
        <v>24</v>
      </c>
      <c r="O7" s="8"/>
      <c r="R7" s="8" t="s">
        <v>14</v>
      </c>
      <c r="S7" s="8"/>
      <c r="T7" s="8" t="s">
        <v>15</v>
      </c>
      <c r="U7" s="8"/>
    </row>
    <row r="8" spans="1:23" x14ac:dyDescent="0.5">
      <c r="B8" s="11"/>
      <c r="C8" s="11"/>
      <c r="D8" s="11"/>
      <c r="E8" s="11"/>
      <c r="F8" s="11"/>
      <c r="G8" s="11"/>
      <c r="H8" s="11"/>
      <c r="I8" s="11"/>
      <c r="J8" s="11"/>
      <c r="L8" s="8"/>
      <c r="M8" s="8"/>
      <c r="N8" s="8"/>
      <c r="O8" s="8"/>
      <c r="R8" s="8"/>
      <c r="S8" s="8"/>
      <c r="T8" s="8"/>
      <c r="U8" s="8"/>
    </row>
    <row r="9" spans="1:23" x14ac:dyDescent="0.5">
      <c r="B9" s="2" t="s">
        <v>4</v>
      </c>
      <c r="C9" s="3"/>
      <c r="D9" s="3"/>
      <c r="E9" s="2" t="s">
        <v>5</v>
      </c>
      <c r="F9" s="3"/>
      <c r="G9" s="3"/>
      <c r="H9" s="4">
        <v>150</v>
      </c>
      <c r="I9" s="5"/>
      <c r="J9" s="5"/>
      <c r="L9" s="2" t="s">
        <v>25</v>
      </c>
      <c r="M9" s="2"/>
      <c r="N9" s="2">
        <v>900</v>
      </c>
      <c r="O9" s="2"/>
      <c r="R9" s="2" t="s">
        <v>30</v>
      </c>
      <c r="S9" s="2"/>
      <c r="T9" s="2">
        <v>1200</v>
      </c>
      <c r="U9" s="2"/>
    </row>
    <row r="10" spans="1:23" x14ac:dyDescent="0.5">
      <c r="B10" s="3"/>
      <c r="C10" s="3"/>
      <c r="D10" s="3"/>
      <c r="E10" s="3"/>
      <c r="F10" s="3"/>
      <c r="G10" s="3"/>
      <c r="H10" s="5"/>
      <c r="I10" s="5"/>
      <c r="J10" s="5"/>
      <c r="L10" s="2"/>
      <c r="M10" s="2"/>
      <c r="N10" s="2"/>
      <c r="O10" s="2"/>
      <c r="R10" s="2"/>
      <c r="S10" s="2"/>
      <c r="T10" s="2"/>
      <c r="U10" s="2"/>
    </row>
    <row r="11" spans="1:23" x14ac:dyDescent="0.5">
      <c r="B11" s="2" t="s">
        <v>6</v>
      </c>
      <c r="C11" s="3"/>
      <c r="D11" s="3"/>
      <c r="E11" s="2" t="s">
        <v>5</v>
      </c>
      <c r="F11" s="3"/>
      <c r="G11" s="3"/>
      <c r="H11" s="4">
        <v>180</v>
      </c>
      <c r="I11" s="5"/>
      <c r="J11" s="5"/>
      <c r="L11" s="2" t="s">
        <v>26</v>
      </c>
      <c r="M11" s="2"/>
      <c r="N11" s="2">
        <v>620</v>
      </c>
      <c r="O11" s="2"/>
      <c r="R11" s="2" t="s">
        <v>31</v>
      </c>
      <c r="S11" s="2"/>
      <c r="T11" s="2">
        <v>80</v>
      </c>
      <c r="U11" s="2"/>
    </row>
    <row r="12" spans="1:23" x14ac:dyDescent="0.5">
      <c r="B12" s="3"/>
      <c r="C12" s="3"/>
      <c r="D12" s="3"/>
      <c r="E12" s="3"/>
      <c r="F12" s="3"/>
      <c r="G12" s="3"/>
      <c r="H12" s="5"/>
      <c r="I12" s="5"/>
      <c r="J12" s="5"/>
      <c r="L12" s="2"/>
      <c r="M12" s="2"/>
      <c r="N12" s="2"/>
      <c r="O12" s="2"/>
      <c r="R12" s="2"/>
      <c r="S12" s="2"/>
      <c r="T12" s="2"/>
      <c r="U12" s="2"/>
    </row>
    <row r="13" spans="1:23" x14ac:dyDescent="0.5">
      <c r="B13" s="2" t="s">
        <v>7</v>
      </c>
      <c r="C13" s="3"/>
      <c r="D13" s="3"/>
      <c r="E13" s="2" t="s">
        <v>5</v>
      </c>
      <c r="F13" s="3"/>
      <c r="G13" s="3"/>
      <c r="H13" s="4">
        <v>200</v>
      </c>
      <c r="I13" s="5"/>
      <c r="J13" s="5"/>
      <c r="L13" s="2" t="s">
        <v>27</v>
      </c>
      <c r="M13" s="2"/>
      <c r="N13" s="2">
        <v>750</v>
      </c>
      <c r="O13" s="2"/>
      <c r="R13" s="2" t="s">
        <v>32</v>
      </c>
      <c r="S13" s="2"/>
      <c r="T13" s="2">
        <v>20</v>
      </c>
      <c r="U13" s="2"/>
    </row>
    <row r="14" spans="1:23" x14ac:dyDescent="0.5">
      <c r="B14" s="3"/>
      <c r="C14" s="3"/>
      <c r="D14" s="3"/>
      <c r="E14" s="3"/>
      <c r="F14" s="3"/>
      <c r="G14" s="3"/>
      <c r="H14" s="5"/>
      <c r="I14" s="5"/>
      <c r="J14" s="5"/>
      <c r="L14" s="2"/>
      <c r="M14" s="2"/>
      <c r="N14" s="2"/>
      <c r="O14" s="2"/>
      <c r="R14" s="2"/>
      <c r="S14" s="2"/>
      <c r="T14" s="2"/>
      <c r="U14" s="2"/>
    </row>
    <row r="15" spans="1:23" x14ac:dyDescent="0.5">
      <c r="B15" s="2" t="s">
        <v>8</v>
      </c>
      <c r="C15" s="3"/>
      <c r="D15" s="3"/>
      <c r="E15" s="2" t="s">
        <v>9</v>
      </c>
      <c r="F15" s="3"/>
      <c r="G15" s="3"/>
      <c r="H15" s="4">
        <v>350</v>
      </c>
      <c r="I15" s="5"/>
      <c r="J15" s="5"/>
      <c r="L15" s="2" t="s">
        <v>28</v>
      </c>
      <c r="M15" s="2"/>
      <c r="N15" s="2">
        <v>400</v>
      </c>
      <c r="O15" s="2"/>
    </row>
    <row r="16" spans="1:23" x14ac:dyDescent="0.5">
      <c r="B16" s="3"/>
      <c r="C16" s="3"/>
      <c r="D16" s="3"/>
      <c r="E16" s="3"/>
      <c r="F16" s="3"/>
      <c r="G16" s="3"/>
      <c r="H16" s="5"/>
      <c r="I16" s="5"/>
      <c r="J16" s="5"/>
      <c r="L16" s="2"/>
      <c r="M16" s="2"/>
      <c r="N16" s="2"/>
      <c r="O16" s="2"/>
    </row>
    <row r="17" spans="2:21" x14ac:dyDescent="0.5">
      <c r="B17" s="2" t="s">
        <v>10</v>
      </c>
      <c r="C17" s="3"/>
      <c r="D17" s="3"/>
      <c r="E17" s="2" t="s">
        <v>9</v>
      </c>
      <c r="F17" s="3"/>
      <c r="G17" s="3"/>
      <c r="H17" s="4">
        <v>220</v>
      </c>
      <c r="I17" s="5"/>
      <c r="J17" s="5"/>
      <c r="L17" s="2" t="s">
        <v>29</v>
      </c>
      <c r="M17" s="2"/>
      <c r="N17" s="2">
        <v>300</v>
      </c>
      <c r="O17" s="2"/>
      <c r="R17" s="6" t="s">
        <v>41</v>
      </c>
      <c r="S17" s="6"/>
      <c r="T17" s="6"/>
      <c r="U17" s="6"/>
    </row>
    <row r="18" spans="2:21" x14ac:dyDescent="0.5">
      <c r="B18" s="3"/>
      <c r="C18" s="3"/>
      <c r="D18" s="3"/>
      <c r="E18" s="3"/>
      <c r="F18" s="3"/>
      <c r="G18" s="3"/>
      <c r="H18" s="5"/>
      <c r="I18" s="5"/>
      <c r="J18" s="5"/>
      <c r="L18" s="2"/>
      <c r="M18" s="2"/>
      <c r="N18" s="2"/>
      <c r="O18" s="2"/>
      <c r="R18" s="6"/>
      <c r="S18" s="6"/>
      <c r="T18" s="6"/>
      <c r="U18" s="6"/>
    </row>
    <row r="19" spans="2:21" x14ac:dyDescent="0.5">
      <c r="B19" s="2" t="s">
        <v>11</v>
      </c>
      <c r="C19" s="3"/>
      <c r="D19" s="3"/>
      <c r="E19" s="2" t="s">
        <v>12</v>
      </c>
      <c r="F19" s="3"/>
      <c r="G19" s="3"/>
      <c r="H19" s="4">
        <v>100</v>
      </c>
      <c r="I19" s="5"/>
      <c r="J19" s="5"/>
      <c r="R19" s="8" t="s">
        <v>33</v>
      </c>
      <c r="S19" s="8"/>
      <c r="T19" s="8" t="s">
        <v>34</v>
      </c>
      <c r="U19" s="8"/>
    </row>
    <row r="20" spans="2:21" x14ac:dyDescent="0.5">
      <c r="B20" s="3"/>
      <c r="C20" s="3"/>
      <c r="D20" s="3"/>
      <c r="E20" s="3"/>
      <c r="F20" s="3"/>
      <c r="G20" s="3"/>
      <c r="H20" s="5"/>
      <c r="I20" s="5"/>
      <c r="J20" s="5"/>
      <c r="R20" s="8"/>
      <c r="S20" s="8"/>
      <c r="T20" s="8"/>
      <c r="U20" s="8"/>
    </row>
    <row r="21" spans="2:21" x14ac:dyDescent="0.5">
      <c r="R21" s="2" t="s">
        <v>4</v>
      </c>
      <c r="S21" s="2"/>
      <c r="T21" s="2">
        <v>120</v>
      </c>
      <c r="U21" s="2"/>
    </row>
    <row r="22" spans="2:21" x14ac:dyDescent="0.5">
      <c r="B22" s="6" t="s">
        <v>43</v>
      </c>
      <c r="C22" s="6"/>
      <c r="D22" s="6"/>
      <c r="E22" s="6"/>
      <c r="F22" s="6"/>
      <c r="G22" s="6"/>
      <c r="H22" s="6"/>
      <c r="I22" s="6"/>
      <c r="J22" s="6"/>
      <c r="L22" s="6" t="s">
        <v>46</v>
      </c>
      <c r="M22" s="6"/>
      <c r="N22" s="6"/>
      <c r="O22" s="6"/>
      <c r="R22" s="2"/>
      <c r="S22" s="2"/>
      <c r="T22" s="2"/>
      <c r="U22" s="2"/>
    </row>
    <row r="23" spans="2:21" x14ac:dyDescent="0.5">
      <c r="B23" s="6"/>
      <c r="C23" s="6"/>
      <c r="D23" s="6"/>
      <c r="E23" s="6"/>
      <c r="F23" s="6"/>
      <c r="G23" s="6"/>
      <c r="H23" s="6"/>
      <c r="I23" s="6"/>
      <c r="J23" s="6"/>
      <c r="L23" s="6"/>
      <c r="M23" s="6"/>
      <c r="N23" s="6"/>
      <c r="O23" s="6"/>
      <c r="R23" s="2" t="s">
        <v>6</v>
      </c>
      <c r="S23" s="2"/>
      <c r="T23" s="2">
        <v>160</v>
      </c>
      <c r="U23" s="2"/>
    </row>
    <row r="24" spans="2:21" x14ac:dyDescent="0.5">
      <c r="B24" s="10" t="s">
        <v>33</v>
      </c>
      <c r="C24" s="10"/>
      <c r="D24" s="10"/>
      <c r="E24" s="10" t="s">
        <v>2</v>
      </c>
      <c r="F24" s="10"/>
      <c r="G24" s="10"/>
      <c r="H24" s="10" t="s">
        <v>42</v>
      </c>
      <c r="I24" s="10"/>
      <c r="J24" s="10"/>
      <c r="L24" s="7" t="s">
        <v>33</v>
      </c>
      <c r="M24" s="7"/>
      <c r="N24" s="9" t="s">
        <v>44</v>
      </c>
      <c r="O24" s="9" t="s">
        <v>45</v>
      </c>
      <c r="R24" s="2"/>
      <c r="S24" s="2"/>
      <c r="T24" s="2"/>
      <c r="U24" s="2"/>
    </row>
    <row r="25" spans="2:21" x14ac:dyDescent="0.5">
      <c r="B25" s="10"/>
      <c r="C25" s="10"/>
      <c r="D25" s="10"/>
      <c r="E25" s="10"/>
      <c r="F25" s="10"/>
      <c r="G25" s="10"/>
      <c r="H25" s="10"/>
      <c r="I25" s="10"/>
      <c r="J25" s="10"/>
      <c r="L25" s="7"/>
      <c r="M25" s="7"/>
      <c r="N25" s="9"/>
      <c r="O25" s="9"/>
      <c r="R25" s="2" t="s">
        <v>35</v>
      </c>
      <c r="S25" s="2"/>
      <c r="T25" s="2">
        <v>190</v>
      </c>
      <c r="U25" s="2"/>
    </row>
    <row r="26" spans="2:21" x14ac:dyDescent="0.5">
      <c r="B26" s="2" t="s">
        <v>4</v>
      </c>
      <c r="C26" s="2"/>
      <c r="D26" s="2"/>
      <c r="E26" s="2" t="s">
        <v>5</v>
      </c>
      <c r="F26" s="2"/>
      <c r="G26" s="2"/>
      <c r="H26" s="2">
        <v>2500</v>
      </c>
      <c r="I26" s="2"/>
      <c r="J26" s="2"/>
      <c r="L26" s="2" t="s">
        <v>4</v>
      </c>
      <c r="M26" s="2"/>
      <c r="N26" s="2">
        <v>4</v>
      </c>
      <c r="O26" s="2">
        <v>3</v>
      </c>
      <c r="R26" s="2"/>
      <c r="S26" s="2"/>
      <c r="T26" s="2"/>
      <c r="U26" s="2"/>
    </row>
    <row r="27" spans="2:21" x14ac:dyDescent="0.5">
      <c r="B27" s="2"/>
      <c r="C27" s="2"/>
      <c r="D27" s="2"/>
      <c r="E27" s="2"/>
      <c r="F27" s="2"/>
      <c r="G27" s="2"/>
      <c r="H27" s="2"/>
      <c r="I27" s="2"/>
      <c r="J27" s="2"/>
      <c r="L27" s="2"/>
      <c r="M27" s="2"/>
      <c r="N27" s="2"/>
      <c r="O27" s="2"/>
      <c r="R27" s="2" t="s">
        <v>36</v>
      </c>
      <c r="S27" s="2"/>
      <c r="T27" s="2">
        <v>250</v>
      </c>
      <c r="U27" s="2"/>
    </row>
    <row r="28" spans="2:21" x14ac:dyDescent="0.5">
      <c r="B28" s="2" t="s">
        <v>6</v>
      </c>
      <c r="C28" s="2"/>
      <c r="D28" s="2"/>
      <c r="E28" s="2" t="s">
        <v>5</v>
      </c>
      <c r="F28" s="2"/>
      <c r="G28" s="2"/>
      <c r="H28" s="2">
        <v>2800</v>
      </c>
      <c r="I28" s="2"/>
      <c r="J28" s="2"/>
      <c r="L28" s="2" t="s">
        <v>6</v>
      </c>
      <c r="M28" s="2"/>
      <c r="N28" s="2">
        <v>5</v>
      </c>
      <c r="O28" s="2">
        <v>3.5</v>
      </c>
      <c r="R28" s="2"/>
      <c r="S28" s="2"/>
      <c r="T28" s="2"/>
      <c r="U28" s="2"/>
    </row>
    <row r="29" spans="2:21" x14ac:dyDescent="0.5">
      <c r="B29" s="2"/>
      <c r="C29" s="2"/>
      <c r="D29" s="2"/>
      <c r="E29" s="2"/>
      <c r="F29" s="2"/>
      <c r="G29" s="2"/>
      <c r="H29" s="2"/>
      <c r="I29" s="2"/>
      <c r="J29" s="2"/>
      <c r="L29" s="2"/>
      <c r="M29" s="2"/>
      <c r="N29" s="2"/>
      <c r="O29" s="2"/>
      <c r="R29" s="2" t="s">
        <v>37</v>
      </c>
      <c r="S29" s="2"/>
      <c r="T29" s="2">
        <v>170</v>
      </c>
      <c r="U29" s="2"/>
    </row>
    <row r="30" spans="2:21" x14ac:dyDescent="0.5">
      <c r="B30" s="2" t="s">
        <v>7</v>
      </c>
      <c r="C30" s="2"/>
      <c r="D30" s="2"/>
      <c r="E30" s="2" t="s">
        <v>5</v>
      </c>
      <c r="F30" s="2"/>
      <c r="G30" s="2"/>
      <c r="H30" s="2">
        <v>3000</v>
      </c>
      <c r="I30" s="2"/>
      <c r="J30" s="2"/>
      <c r="L30" s="2" t="s">
        <v>7</v>
      </c>
      <c r="M30" s="2"/>
      <c r="N30" s="2">
        <v>6</v>
      </c>
      <c r="O30" s="2">
        <v>4</v>
      </c>
      <c r="R30" s="2"/>
      <c r="S30" s="2"/>
      <c r="T30" s="2"/>
      <c r="U30" s="2"/>
    </row>
    <row r="31" spans="2:21" x14ac:dyDescent="0.5">
      <c r="B31" s="2"/>
      <c r="C31" s="2"/>
      <c r="D31" s="2"/>
      <c r="E31" s="2"/>
      <c r="F31" s="2"/>
      <c r="G31" s="2"/>
      <c r="H31" s="2"/>
      <c r="I31" s="2"/>
      <c r="J31" s="2"/>
      <c r="L31" s="2"/>
      <c r="M31" s="2"/>
      <c r="N31" s="2"/>
      <c r="O31" s="2"/>
      <c r="R31" s="2" t="s">
        <v>11</v>
      </c>
      <c r="S31" s="2"/>
      <c r="T31" s="2">
        <v>85</v>
      </c>
      <c r="U31" s="2"/>
    </row>
    <row r="32" spans="2:21" x14ac:dyDescent="0.5">
      <c r="B32" s="2" t="s">
        <v>8</v>
      </c>
      <c r="C32" s="2"/>
      <c r="D32" s="2"/>
      <c r="E32" s="2" t="s">
        <v>9</v>
      </c>
      <c r="F32" s="2"/>
      <c r="G32" s="2"/>
      <c r="H32" s="2">
        <v>3500</v>
      </c>
      <c r="I32" s="2"/>
      <c r="J32" s="2"/>
      <c r="L32" s="2" t="s">
        <v>8</v>
      </c>
      <c r="M32" s="2"/>
      <c r="N32" s="2">
        <v>6</v>
      </c>
      <c r="O32" s="2">
        <v>5</v>
      </c>
      <c r="R32" s="2"/>
      <c r="S32" s="2"/>
      <c r="T32" s="2"/>
      <c r="U32" s="2"/>
    </row>
    <row r="33" spans="2:15" x14ac:dyDescent="0.5">
      <c r="B33" s="2"/>
      <c r="C33" s="2"/>
      <c r="D33" s="2"/>
      <c r="E33" s="2"/>
      <c r="F33" s="2"/>
      <c r="G33" s="2"/>
      <c r="H33" s="2"/>
      <c r="I33" s="2"/>
      <c r="J33" s="2"/>
      <c r="L33" s="2"/>
      <c r="M33" s="2"/>
      <c r="N33" s="2"/>
      <c r="O33" s="2"/>
    </row>
    <row r="34" spans="2:15" x14ac:dyDescent="0.5">
      <c r="B34" s="2" t="s">
        <v>10</v>
      </c>
      <c r="C34" s="2"/>
      <c r="D34" s="2"/>
      <c r="E34" s="2" t="s">
        <v>9</v>
      </c>
      <c r="F34" s="2"/>
      <c r="G34" s="2"/>
      <c r="H34" s="2">
        <v>4000</v>
      </c>
      <c r="I34" s="2"/>
      <c r="J34" s="2"/>
      <c r="L34" s="2" t="s">
        <v>10</v>
      </c>
      <c r="M34" s="2"/>
      <c r="N34" s="2">
        <v>7</v>
      </c>
      <c r="O34" s="2">
        <v>6</v>
      </c>
    </row>
    <row r="35" spans="2:15" x14ac:dyDescent="0.5">
      <c r="B35" s="2"/>
      <c r="C35" s="2"/>
      <c r="D35" s="2"/>
      <c r="E35" s="2"/>
      <c r="F35" s="2"/>
      <c r="G35" s="2"/>
      <c r="H35" s="2"/>
      <c r="I35" s="2"/>
      <c r="J35" s="2"/>
      <c r="L35" s="2"/>
      <c r="M35" s="2"/>
      <c r="N35" s="2"/>
      <c r="O35" s="2"/>
    </row>
    <row r="36" spans="2:15" x14ac:dyDescent="0.5">
      <c r="B36" s="2" t="s">
        <v>11</v>
      </c>
      <c r="C36" s="2"/>
      <c r="D36" s="2"/>
      <c r="E36" s="2" t="s">
        <v>12</v>
      </c>
      <c r="F36" s="2"/>
      <c r="G36" s="2"/>
      <c r="H36" s="2">
        <v>4500</v>
      </c>
      <c r="I36" s="2"/>
      <c r="J36" s="2"/>
      <c r="L36" s="2" t="s">
        <v>11</v>
      </c>
      <c r="M36" s="2"/>
      <c r="N36" s="2">
        <v>8</v>
      </c>
      <c r="O36" s="2">
        <v>7</v>
      </c>
    </row>
    <row r="37" spans="2:15" x14ac:dyDescent="0.5">
      <c r="B37" s="2"/>
      <c r="C37" s="2"/>
      <c r="D37" s="2"/>
      <c r="E37" s="2"/>
      <c r="F37" s="2"/>
      <c r="G37" s="2"/>
      <c r="H37" s="2"/>
      <c r="I37" s="2"/>
      <c r="J37" s="2"/>
      <c r="L37" s="2"/>
      <c r="M37" s="2"/>
      <c r="N37" s="2"/>
      <c r="O37" s="2"/>
    </row>
  </sheetData>
  <mergeCells count="104">
    <mergeCell ref="E19:G20"/>
    <mergeCell ref="H15:J16"/>
    <mergeCell ref="B11:D12"/>
    <mergeCell ref="B19:D20"/>
    <mergeCell ref="E9:G10"/>
    <mergeCell ref="B7:D8"/>
    <mergeCell ref="E15:G16"/>
    <mergeCell ref="H17:J18"/>
    <mergeCell ref="B17:D18"/>
    <mergeCell ref="H19:J20"/>
    <mergeCell ref="E17:G18"/>
    <mergeCell ref="A1:W3"/>
    <mergeCell ref="B15:D16"/>
    <mergeCell ref="H9:J10"/>
    <mergeCell ref="H11:J12"/>
    <mergeCell ref="E11:G12"/>
    <mergeCell ref="H7:J8"/>
    <mergeCell ref="B13:D14"/>
    <mergeCell ref="H13:J14"/>
    <mergeCell ref="B9:D10"/>
    <mergeCell ref="E13:G14"/>
    <mergeCell ref="E7:G8"/>
    <mergeCell ref="B5:J6"/>
    <mergeCell ref="N15:O16"/>
    <mergeCell ref="R11:S12"/>
    <mergeCell ref="R13:S14"/>
    <mergeCell ref="T13:U14"/>
    <mergeCell ref="T11:U12"/>
    <mergeCell ref="R5:U6"/>
    <mergeCell ref="L5:O6"/>
    <mergeCell ref="R7:S8"/>
    <mergeCell ref="T7:U8"/>
    <mergeCell ref="R9:S10"/>
    <mergeCell ref="T9:U10"/>
    <mergeCell ref="N17:O18"/>
    <mergeCell ref="L9:M10"/>
    <mergeCell ref="L11:M12"/>
    <mergeCell ref="L13:M14"/>
    <mergeCell ref="L15:M16"/>
    <mergeCell ref="L17:M18"/>
    <mergeCell ref="L7:M8"/>
    <mergeCell ref="N7:O8"/>
    <mergeCell ref="N9:O10"/>
    <mergeCell ref="N11:O12"/>
    <mergeCell ref="N13:O14"/>
    <mergeCell ref="R17:U18"/>
    <mergeCell ref="R19:S20"/>
    <mergeCell ref="T19:U20"/>
    <mergeCell ref="R31:S32"/>
    <mergeCell ref="R29:S30"/>
    <mergeCell ref="R21:S22"/>
    <mergeCell ref="R23:S24"/>
    <mergeCell ref="R25:S26"/>
    <mergeCell ref="R27:S28"/>
    <mergeCell ref="T31:U32"/>
    <mergeCell ref="T29:U30"/>
    <mergeCell ref="T21:U22"/>
    <mergeCell ref="T23:U24"/>
    <mergeCell ref="T25:U26"/>
    <mergeCell ref="T27:U28"/>
    <mergeCell ref="B28:D29"/>
    <mergeCell ref="B30:D31"/>
    <mergeCell ref="B32:D33"/>
    <mergeCell ref="B34:D35"/>
    <mergeCell ref="B36:D37"/>
    <mergeCell ref="B22:J23"/>
    <mergeCell ref="B24:D25"/>
    <mergeCell ref="E24:G25"/>
    <mergeCell ref="H24:J25"/>
    <mergeCell ref="B26:D27"/>
    <mergeCell ref="E26:G27"/>
    <mergeCell ref="H26:J27"/>
    <mergeCell ref="E34:G35"/>
    <mergeCell ref="H34:J35"/>
    <mergeCell ref="H36:J37"/>
    <mergeCell ref="E36:G37"/>
    <mergeCell ref="L22:O23"/>
    <mergeCell ref="L24:M25"/>
    <mergeCell ref="N24:N25"/>
    <mergeCell ref="O24:O25"/>
    <mergeCell ref="L26:M27"/>
    <mergeCell ref="L28:M29"/>
    <mergeCell ref="L30:M31"/>
    <mergeCell ref="L32:M33"/>
    <mergeCell ref="L34:M35"/>
    <mergeCell ref="O26:O27"/>
    <mergeCell ref="O28:O29"/>
    <mergeCell ref="O30:O31"/>
    <mergeCell ref="O32:O33"/>
    <mergeCell ref="O34:O35"/>
    <mergeCell ref="O36:O37"/>
    <mergeCell ref="L36:M37"/>
    <mergeCell ref="N26:N27"/>
    <mergeCell ref="N28:N29"/>
    <mergeCell ref="E28:G29"/>
    <mergeCell ref="E30:G31"/>
    <mergeCell ref="H28:J29"/>
    <mergeCell ref="H30:J31"/>
    <mergeCell ref="H32:J33"/>
    <mergeCell ref="E32:G33"/>
    <mergeCell ref="N30:N31"/>
    <mergeCell ref="N32:N33"/>
    <mergeCell ref="N34:N35"/>
    <mergeCell ref="N36:N37"/>
  </mergeCells>
  <conditionalFormatting sqref="H9:J20">
    <cfRule type="colorScale" priority="1">
      <colorScale>
        <cfvo type="num" val="150"/>
        <cfvo type="num" val="250"/>
        <color rgb="FFFF2F2F"/>
        <color rgb="FFADF98F"/>
      </colorScale>
    </cfRule>
  </conditionalFormatting>
  <dataValidations count="1">
    <dataValidation type="list" allowBlank="1" showInputMessage="1" showErrorMessage="1" sqref="E9:G20" xr:uid="{00000000-0002-0000-0000-000000000000}">
      <formula1>"Primary,Middle,Secondary"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34"/>
  <sheetViews>
    <sheetView workbookViewId="0">
      <selection sqref="A1:W3"/>
    </sheetView>
  </sheetViews>
  <sheetFormatPr defaultRowHeight="18" x14ac:dyDescent="0.5"/>
  <sheetData>
    <row r="1" spans="1:23" x14ac:dyDescent="0.5">
      <c r="A1" s="15" t="s">
        <v>13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</row>
    <row r="2" spans="1:23" x14ac:dyDescent="0.5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 x14ac:dyDescent="0.5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5" spans="1:23" x14ac:dyDescent="0.5">
      <c r="B5" s="6" t="s">
        <v>47</v>
      </c>
      <c r="C5" s="6"/>
      <c r="D5" s="6"/>
      <c r="E5" s="6"/>
      <c r="F5" s="6"/>
      <c r="G5" s="6"/>
      <c r="I5" s="6" t="s">
        <v>52</v>
      </c>
      <c r="J5" s="6"/>
      <c r="K5" s="6"/>
      <c r="L5" s="6"/>
      <c r="M5" s="6"/>
      <c r="N5" s="6"/>
      <c r="Q5" s="6" t="s">
        <v>22</v>
      </c>
      <c r="R5" s="6"/>
      <c r="S5" s="6"/>
      <c r="T5" s="6"/>
      <c r="U5" s="6"/>
      <c r="V5" s="6"/>
    </row>
    <row r="6" spans="1:23" x14ac:dyDescent="0.5">
      <c r="B6" s="6"/>
      <c r="C6" s="6"/>
      <c r="D6" s="6"/>
      <c r="E6" s="6"/>
      <c r="F6" s="6"/>
      <c r="G6" s="6"/>
      <c r="I6" s="6"/>
      <c r="J6" s="6"/>
      <c r="K6" s="6"/>
      <c r="L6" s="6"/>
      <c r="M6" s="6"/>
      <c r="N6" s="6"/>
      <c r="Q6" s="6"/>
      <c r="R6" s="6"/>
      <c r="S6" s="6"/>
      <c r="T6" s="6"/>
      <c r="U6" s="6"/>
      <c r="V6" s="6"/>
    </row>
    <row r="7" spans="1:23" x14ac:dyDescent="0.5">
      <c r="B7" s="10" t="s">
        <v>14</v>
      </c>
      <c r="C7" s="11"/>
      <c r="D7" s="11"/>
      <c r="E7" s="10" t="s">
        <v>15</v>
      </c>
      <c r="F7" s="11"/>
      <c r="G7" s="11"/>
      <c r="I7" s="10" t="s">
        <v>14</v>
      </c>
      <c r="J7" s="11"/>
      <c r="K7" s="11"/>
      <c r="L7" s="10" t="s">
        <v>15</v>
      </c>
      <c r="M7" s="11"/>
      <c r="N7" s="11"/>
      <c r="Q7" s="10" t="s">
        <v>14</v>
      </c>
      <c r="R7" s="11"/>
      <c r="S7" s="11"/>
      <c r="T7" s="10" t="s">
        <v>15</v>
      </c>
      <c r="U7" s="11"/>
      <c r="V7" s="11"/>
    </row>
    <row r="8" spans="1:23" x14ac:dyDescent="0.5">
      <c r="B8" s="11"/>
      <c r="C8" s="11"/>
      <c r="D8" s="11"/>
      <c r="E8" s="11"/>
      <c r="F8" s="11"/>
      <c r="G8" s="11"/>
      <c r="I8" s="11"/>
      <c r="J8" s="11"/>
      <c r="K8" s="11"/>
      <c r="L8" s="11"/>
      <c r="M8" s="11"/>
      <c r="N8" s="11"/>
      <c r="Q8" s="11"/>
      <c r="R8" s="11"/>
      <c r="S8" s="11"/>
      <c r="T8" s="11"/>
      <c r="U8" s="11"/>
      <c r="V8" s="11"/>
    </row>
    <row r="9" spans="1:23" x14ac:dyDescent="0.5">
      <c r="B9" s="2" t="s">
        <v>16</v>
      </c>
      <c r="C9" s="3"/>
      <c r="D9" s="3"/>
      <c r="E9" s="2">
        <f>SUM(Raw_Admission_Data!H9:J20)</f>
        <v>1200</v>
      </c>
      <c r="F9" s="3"/>
      <c r="G9" s="3"/>
      <c r="I9" s="2" t="s">
        <v>48</v>
      </c>
      <c r="J9" s="3"/>
      <c r="K9" s="3"/>
      <c r="L9" s="2">
        <f>SUM(Raw_Admission_Data!T21:U32)</f>
        <v>975</v>
      </c>
      <c r="M9" s="3"/>
      <c r="N9" s="3"/>
      <c r="Q9" s="2" t="s">
        <v>53</v>
      </c>
      <c r="R9" s="3"/>
      <c r="S9" s="3"/>
      <c r="T9" s="2">
        <f>SUM(Raw_Admission_Data!N9:O18)</f>
        <v>2970</v>
      </c>
      <c r="U9" s="3"/>
      <c r="V9" s="3"/>
    </row>
    <row r="10" spans="1:23" x14ac:dyDescent="0.5">
      <c r="B10" s="3"/>
      <c r="C10" s="3"/>
      <c r="D10" s="3"/>
      <c r="E10" s="3"/>
      <c r="F10" s="3"/>
      <c r="G10" s="3"/>
      <c r="I10" s="3"/>
      <c r="J10" s="3"/>
      <c r="K10" s="3"/>
      <c r="L10" s="3"/>
      <c r="M10" s="3"/>
      <c r="N10" s="3"/>
      <c r="Q10" s="3"/>
      <c r="R10" s="3"/>
      <c r="S10" s="3"/>
      <c r="T10" s="3"/>
      <c r="U10" s="3"/>
      <c r="V10" s="3"/>
    </row>
    <row r="11" spans="1:23" x14ac:dyDescent="0.5">
      <c r="B11" s="2" t="s">
        <v>17</v>
      </c>
      <c r="C11" s="3"/>
      <c r="D11" s="3"/>
      <c r="E11" s="2">
        <f>AVERAGE(Raw_Admission_Data!H9:J20)</f>
        <v>200</v>
      </c>
      <c r="F11" s="3"/>
      <c r="G11" s="3"/>
      <c r="I11" s="2" t="s">
        <v>49</v>
      </c>
      <c r="J11" s="3"/>
      <c r="K11" s="3"/>
      <c r="L11" s="2">
        <f>AVERAGE(Raw_Admission_Data!T21:U32)</f>
        <v>162.5</v>
      </c>
      <c r="M11" s="3"/>
      <c r="N11" s="3"/>
      <c r="Q11" s="2" t="s">
        <v>54</v>
      </c>
      <c r="R11" s="3"/>
      <c r="S11" s="3"/>
      <c r="T11" s="2">
        <f>AVERAGE(Raw_Admission_Data!N9:O18)</f>
        <v>594</v>
      </c>
      <c r="U11" s="3"/>
      <c r="V11" s="3"/>
    </row>
    <row r="12" spans="1:23" x14ac:dyDescent="0.5">
      <c r="B12" s="3"/>
      <c r="C12" s="3"/>
      <c r="D12" s="3"/>
      <c r="E12" s="3"/>
      <c r="F12" s="3"/>
      <c r="G12" s="3"/>
      <c r="I12" s="3"/>
      <c r="J12" s="3"/>
      <c r="K12" s="3"/>
      <c r="L12" s="3"/>
      <c r="M12" s="3"/>
      <c r="N12" s="3"/>
      <c r="Q12" s="3"/>
      <c r="R12" s="3"/>
      <c r="S12" s="3"/>
      <c r="T12" s="3"/>
      <c r="U12" s="3"/>
      <c r="V12" s="3"/>
    </row>
    <row r="13" spans="1:23" x14ac:dyDescent="0.5">
      <c r="B13" s="2" t="s">
        <v>18</v>
      </c>
      <c r="C13" s="3"/>
      <c r="D13" s="3"/>
      <c r="E13" s="2">
        <f>SUMIF(Raw_Admission_Data!E9:G20,"Primary",Raw_Admission_Data!H9:J20)</f>
        <v>530</v>
      </c>
      <c r="F13" s="3"/>
      <c r="G13" s="3"/>
      <c r="I13" s="2" t="s">
        <v>50</v>
      </c>
      <c r="J13" s="3"/>
      <c r="K13" s="3"/>
      <c r="L13" s="2">
        <f>MAX(Raw_Admission_Data!T21:U32)</f>
        <v>250</v>
      </c>
      <c r="M13" s="3"/>
      <c r="N13" s="3"/>
      <c r="Q13" s="2" t="s">
        <v>55</v>
      </c>
      <c r="R13" s="3"/>
      <c r="S13" s="3"/>
      <c r="T13" s="2">
        <f>MAX(Raw_Admission_Data!N9:O18)</f>
        <v>900</v>
      </c>
      <c r="U13" s="3"/>
      <c r="V13" s="3"/>
    </row>
    <row r="14" spans="1:23" x14ac:dyDescent="0.5">
      <c r="B14" s="3"/>
      <c r="C14" s="3"/>
      <c r="D14" s="3"/>
      <c r="E14" s="3"/>
      <c r="F14" s="3"/>
      <c r="G14" s="3"/>
      <c r="I14" s="3"/>
      <c r="J14" s="3"/>
      <c r="K14" s="3"/>
      <c r="L14" s="3"/>
      <c r="M14" s="3"/>
      <c r="N14" s="3"/>
      <c r="Q14" s="3"/>
      <c r="R14" s="3"/>
      <c r="S14" s="3"/>
      <c r="T14" s="3"/>
      <c r="U14" s="3"/>
      <c r="V14" s="3"/>
    </row>
    <row r="15" spans="1:23" x14ac:dyDescent="0.5">
      <c r="B15" s="2" t="s">
        <v>19</v>
      </c>
      <c r="C15" s="3"/>
      <c r="D15" s="3"/>
      <c r="E15" s="2">
        <f>SUMIF(Raw_Admission_Data!E9:G20,"Middle",Raw_Admission_Data!H9:J20)</f>
        <v>570</v>
      </c>
      <c r="F15" s="3"/>
      <c r="G15" s="3"/>
      <c r="I15" s="2" t="s">
        <v>51</v>
      </c>
      <c r="J15" s="3"/>
      <c r="K15" s="3"/>
      <c r="L15" s="2">
        <f>MIN(Raw_Admission_Data!T21:U32)</f>
        <v>85</v>
      </c>
      <c r="M15" s="3"/>
      <c r="N15" s="3"/>
    </row>
    <row r="16" spans="1:23" x14ac:dyDescent="0.5">
      <c r="B16" s="3"/>
      <c r="C16" s="3"/>
      <c r="D16" s="3"/>
      <c r="E16" s="3"/>
      <c r="F16" s="3"/>
      <c r="G16" s="3"/>
      <c r="I16" s="3"/>
      <c r="J16" s="3"/>
      <c r="K16" s="3"/>
      <c r="L16" s="3"/>
      <c r="M16" s="3"/>
      <c r="N16" s="3"/>
    </row>
    <row r="17" spans="2:22" x14ac:dyDescent="0.5">
      <c r="B17" s="2" t="s">
        <v>20</v>
      </c>
      <c r="C17" s="3"/>
      <c r="D17" s="3"/>
      <c r="E17" s="2">
        <f>SUMIF(Raw_Admission_Data!E9:G20,"Secondary",Raw_Admission_Data!H9:J20)</f>
        <v>100</v>
      </c>
      <c r="F17" s="3"/>
      <c r="G17" s="3"/>
      <c r="I17" s="1"/>
      <c r="L17" s="1"/>
      <c r="Q17" s="6" t="s">
        <v>40</v>
      </c>
      <c r="R17" s="6"/>
      <c r="S17" s="6"/>
      <c r="T17" s="6"/>
      <c r="U17" s="6"/>
      <c r="V17" s="6"/>
    </row>
    <row r="18" spans="2:22" x14ac:dyDescent="0.5">
      <c r="B18" s="3"/>
      <c r="C18" s="3"/>
      <c r="D18" s="3"/>
      <c r="E18" s="3"/>
      <c r="F18" s="3"/>
      <c r="G18" s="3"/>
      <c r="Q18" s="6"/>
      <c r="R18" s="6"/>
      <c r="S18" s="6"/>
      <c r="T18" s="6"/>
      <c r="U18" s="6"/>
      <c r="V18" s="6"/>
    </row>
    <row r="19" spans="2:22" x14ac:dyDescent="0.5">
      <c r="Q19" s="10" t="s">
        <v>14</v>
      </c>
      <c r="R19" s="11"/>
      <c r="S19" s="11"/>
      <c r="T19" s="10" t="s">
        <v>15</v>
      </c>
      <c r="U19" s="11"/>
      <c r="V19" s="11"/>
    </row>
    <row r="20" spans="2:22" x14ac:dyDescent="0.5">
      <c r="Q20" s="11"/>
      <c r="R20" s="11"/>
      <c r="S20" s="11"/>
      <c r="T20" s="11"/>
      <c r="U20" s="11"/>
      <c r="V20" s="11"/>
    </row>
    <row r="21" spans="2:22" x14ac:dyDescent="0.5">
      <c r="B21" s="6" t="s">
        <v>43</v>
      </c>
      <c r="C21" s="6"/>
      <c r="D21" s="6"/>
      <c r="E21" s="6"/>
      <c r="F21" s="6"/>
      <c r="G21" s="6"/>
      <c r="I21" s="6" t="s">
        <v>46</v>
      </c>
      <c r="J21" s="6"/>
      <c r="K21" s="6"/>
      <c r="L21" s="6"/>
      <c r="M21" s="6"/>
      <c r="N21" s="6"/>
      <c r="Q21" s="2" t="s">
        <v>56</v>
      </c>
      <c r="R21" s="3"/>
      <c r="S21" s="3"/>
      <c r="T21" s="2">
        <f>Raw_Admission_Data!$T$9/Raw_Admission_Data!T11</f>
        <v>15</v>
      </c>
      <c r="U21" s="3"/>
      <c r="V21" s="3"/>
    </row>
    <row r="22" spans="2:22" x14ac:dyDescent="0.5">
      <c r="B22" s="6"/>
      <c r="C22" s="6"/>
      <c r="D22" s="6"/>
      <c r="E22" s="6"/>
      <c r="F22" s="6"/>
      <c r="G22" s="6"/>
      <c r="I22" s="6"/>
      <c r="J22" s="6"/>
      <c r="K22" s="6"/>
      <c r="L22" s="6"/>
      <c r="M22" s="6"/>
      <c r="N22" s="6"/>
      <c r="Q22" s="3"/>
      <c r="R22" s="3"/>
      <c r="S22" s="3"/>
      <c r="T22" s="3"/>
      <c r="U22" s="3"/>
      <c r="V22" s="3"/>
    </row>
    <row r="23" spans="2:22" x14ac:dyDescent="0.5">
      <c r="B23" s="10" t="s">
        <v>14</v>
      </c>
      <c r="C23" s="11"/>
      <c r="D23" s="11"/>
      <c r="E23" s="10" t="s">
        <v>15</v>
      </c>
      <c r="F23" s="11"/>
      <c r="G23" s="11"/>
      <c r="I23" s="10" t="s">
        <v>14</v>
      </c>
      <c r="J23" s="11"/>
      <c r="K23" s="11"/>
      <c r="L23" s="10" t="s">
        <v>15</v>
      </c>
      <c r="M23" s="11"/>
      <c r="N23" s="11"/>
      <c r="Q23" s="2" t="s">
        <v>32</v>
      </c>
      <c r="R23" s="3"/>
      <c r="S23" s="3"/>
      <c r="T23" s="2">
        <v>20</v>
      </c>
      <c r="U23" s="3"/>
      <c r="V23" s="3"/>
    </row>
    <row r="24" spans="2:22" x14ac:dyDescent="0.5">
      <c r="B24" s="11"/>
      <c r="C24" s="11"/>
      <c r="D24" s="11"/>
      <c r="E24" s="11"/>
      <c r="F24" s="11"/>
      <c r="G24" s="11"/>
      <c r="I24" s="11"/>
      <c r="J24" s="11"/>
      <c r="K24" s="11"/>
      <c r="L24" s="11"/>
      <c r="M24" s="11"/>
      <c r="N24" s="11"/>
      <c r="Q24" s="3"/>
      <c r="R24" s="3"/>
      <c r="S24" s="3"/>
      <c r="T24" s="3"/>
      <c r="U24" s="3"/>
      <c r="V24" s="3"/>
    </row>
    <row r="25" spans="2:22" x14ac:dyDescent="0.5">
      <c r="B25" s="2" t="s">
        <v>57</v>
      </c>
      <c r="C25" s="3"/>
      <c r="D25" s="3"/>
      <c r="E25" s="12">
        <f>AVERAGE(Raw_Admission_Data!H26:J37)</f>
        <v>3383.3333333333335</v>
      </c>
      <c r="F25" s="13"/>
      <c r="G25" s="13"/>
      <c r="I25" s="2" t="s">
        <v>62</v>
      </c>
      <c r="J25" s="3"/>
      <c r="K25" s="3"/>
      <c r="L25" s="2">
        <f>AVERAGE(Raw_Admission_Data!N26:N37)</f>
        <v>6</v>
      </c>
      <c r="M25" s="3"/>
      <c r="N25" s="3"/>
    </row>
    <row r="26" spans="2:22" x14ac:dyDescent="0.5">
      <c r="B26" s="3"/>
      <c r="C26" s="3"/>
      <c r="D26" s="3"/>
      <c r="E26" s="13"/>
      <c r="F26" s="13"/>
      <c r="G26" s="13"/>
      <c r="I26" s="3"/>
      <c r="J26" s="3"/>
      <c r="K26" s="3"/>
      <c r="L26" s="3"/>
      <c r="M26" s="3"/>
      <c r="N26" s="3"/>
    </row>
    <row r="27" spans="2:22" x14ac:dyDescent="0.5">
      <c r="B27" s="2" t="s">
        <v>58</v>
      </c>
      <c r="C27" s="3"/>
      <c r="D27" s="3"/>
      <c r="E27" s="2">
        <f>MAX(Raw_Admission_Data!H26:J37)</f>
        <v>4500</v>
      </c>
      <c r="F27" s="3"/>
      <c r="G27" s="3"/>
      <c r="I27" s="2" t="s">
        <v>63</v>
      </c>
      <c r="J27" s="3"/>
      <c r="K27" s="3"/>
      <c r="L27" s="2">
        <f>MAX(Raw_Admission_Data!O26:O37)</f>
        <v>7</v>
      </c>
      <c r="M27" s="3"/>
      <c r="N27" s="3"/>
    </row>
    <row r="28" spans="2:22" x14ac:dyDescent="0.5">
      <c r="B28" s="3"/>
      <c r="C28" s="3"/>
      <c r="D28" s="3"/>
      <c r="E28" s="3"/>
      <c r="F28" s="3"/>
      <c r="G28" s="3"/>
      <c r="I28" s="3"/>
      <c r="J28" s="3"/>
      <c r="K28" s="3"/>
      <c r="L28" s="3"/>
      <c r="M28" s="3"/>
      <c r="N28" s="3"/>
    </row>
    <row r="29" spans="2:22" x14ac:dyDescent="0.5">
      <c r="B29" s="2" t="s">
        <v>59</v>
      </c>
      <c r="C29" s="3"/>
      <c r="D29" s="3"/>
      <c r="E29" s="2">
        <f>MIN(Raw_Admission_Data!H26:J37)</f>
        <v>2500</v>
      </c>
      <c r="F29" s="3"/>
      <c r="G29" s="3"/>
      <c r="I29" s="2" t="s">
        <v>64</v>
      </c>
      <c r="J29" s="3"/>
      <c r="K29" s="3"/>
      <c r="L29" s="2">
        <f>MIN(Raw_Admission_Data!O26:O37)</f>
        <v>3</v>
      </c>
      <c r="M29" s="3"/>
      <c r="N29" s="3"/>
    </row>
    <row r="30" spans="2:22" x14ac:dyDescent="0.5">
      <c r="B30" s="3"/>
      <c r="C30" s="3"/>
      <c r="D30" s="3"/>
      <c r="E30" s="3"/>
      <c r="F30" s="3"/>
      <c r="G30" s="3"/>
      <c r="I30" s="3"/>
      <c r="J30" s="3"/>
      <c r="K30" s="3"/>
      <c r="L30" s="3"/>
      <c r="M30" s="3"/>
      <c r="N30" s="3"/>
    </row>
    <row r="31" spans="2:22" x14ac:dyDescent="0.5">
      <c r="B31" s="2" t="s">
        <v>60</v>
      </c>
      <c r="C31" s="3"/>
      <c r="D31" s="3"/>
      <c r="E31" s="12">
        <f>AVERAGEIF(Raw_Admission_Data!E26:G37,"Primary",Raw_Admission_Data!H26:J37)</f>
        <v>2766.6666666666665</v>
      </c>
      <c r="F31" s="13"/>
      <c r="G31" s="13"/>
    </row>
    <row r="32" spans="2:22" x14ac:dyDescent="0.5">
      <c r="B32" s="3"/>
      <c r="C32" s="3"/>
      <c r="D32" s="3"/>
      <c r="E32" s="13"/>
      <c r="F32" s="13"/>
      <c r="G32" s="13"/>
    </row>
    <row r="33" spans="2:7" x14ac:dyDescent="0.5">
      <c r="B33" s="2" t="s">
        <v>61</v>
      </c>
      <c r="C33" s="3"/>
      <c r="D33" s="3"/>
      <c r="E33" s="2">
        <f>AVERAGEIF(Raw_Admission_Data!E26:G37,"Secondary",Raw_Admission_Data!H26:J37)</f>
        <v>4500</v>
      </c>
      <c r="F33" s="3"/>
      <c r="G33" s="3"/>
    </row>
    <row r="34" spans="2:7" x14ac:dyDescent="0.5">
      <c r="B34" s="3"/>
      <c r="C34" s="3"/>
      <c r="D34" s="3"/>
      <c r="E34" s="3"/>
      <c r="F34" s="3"/>
      <c r="G34" s="3"/>
    </row>
  </sheetData>
  <mergeCells count="63">
    <mergeCell ref="E15:G16"/>
    <mergeCell ref="B11:D12"/>
    <mergeCell ref="E7:G8"/>
    <mergeCell ref="A1:W3"/>
    <mergeCell ref="E11:G12"/>
    <mergeCell ref="B13:D14"/>
    <mergeCell ref="E13:G14"/>
    <mergeCell ref="B9:D10"/>
    <mergeCell ref="B7:D8"/>
    <mergeCell ref="Q11:S12"/>
    <mergeCell ref="T11:V12"/>
    <mergeCell ref="Q13:S14"/>
    <mergeCell ref="T13:V14"/>
    <mergeCell ref="E17:G18"/>
    <mergeCell ref="E9:G10"/>
    <mergeCell ref="B17:D18"/>
    <mergeCell ref="B5:G6"/>
    <mergeCell ref="I5:N6"/>
    <mergeCell ref="I7:K8"/>
    <mergeCell ref="L7:N8"/>
    <mergeCell ref="I9:K10"/>
    <mergeCell ref="L9:N10"/>
    <mergeCell ref="I11:K12"/>
    <mergeCell ref="L11:N12"/>
    <mergeCell ref="I13:K14"/>
    <mergeCell ref="L13:N14"/>
    <mergeCell ref="I15:K16"/>
    <mergeCell ref="L15:N16"/>
    <mergeCell ref="B15:D16"/>
    <mergeCell ref="Q17:V18"/>
    <mergeCell ref="Q5:V6"/>
    <mergeCell ref="Q7:S8"/>
    <mergeCell ref="T7:V8"/>
    <mergeCell ref="Q9:S10"/>
    <mergeCell ref="T9:V10"/>
    <mergeCell ref="Q19:S20"/>
    <mergeCell ref="T19:V20"/>
    <mergeCell ref="Q21:S22"/>
    <mergeCell ref="T21:V22"/>
    <mergeCell ref="Q23:S24"/>
    <mergeCell ref="T23:V24"/>
    <mergeCell ref="E31:G32"/>
    <mergeCell ref="B21:G22"/>
    <mergeCell ref="B23:D24"/>
    <mergeCell ref="E23:G24"/>
    <mergeCell ref="B25:D26"/>
    <mergeCell ref="E25:G26"/>
    <mergeCell ref="B33:D34"/>
    <mergeCell ref="E33:G34"/>
    <mergeCell ref="I21:N22"/>
    <mergeCell ref="I23:K24"/>
    <mergeCell ref="L23:N24"/>
    <mergeCell ref="I25:K26"/>
    <mergeCell ref="L25:N26"/>
    <mergeCell ref="I27:K28"/>
    <mergeCell ref="L27:N28"/>
    <mergeCell ref="I29:K30"/>
    <mergeCell ref="L29:N30"/>
    <mergeCell ref="B27:D28"/>
    <mergeCell ref="E27:G28"/>
    <mergeCell ref="B29:D30"/>
    <mergeCell ref="E29:G30"/>
    <mergeCell ref="B31:D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97C94E-7254-4AB8-AE1A-F9E8E997BE5B}">
  <dimension ref="A1:W44"/>
  <sheetViews>
    <sheetView zoomScale="98" workbookViewId="0">
      <selection activeCell="K18" sqref="K18"/>
    </sheetView>
  </sheetViews>
  <sheetFormatPr defaultRowHeight="18" x14ac:dyDescent="0.5"/>
  <sheetData>
    <row r="1" spans="1:23" x14ac:dyDescent="0.5">
      <c r="A1" s="15" t="s">
        <v>65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</row>
    <row r="2" spans="1:23" x14ac:dyDescent="0.5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x14ac:dyDescent="0.5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</row>
    <row r="5" spans="1:23" x14ac:dyDescent="0.5">
      <c r="B5" s="14" t="s">
        <v>66</v>
      </c>
      <c r="C5" s="14"/>
      <c r="D5" s="14"/>
      <c r="E5" s="14"/>
      <c r="F5" s="14"/>
      <c r="G5" s="14"/>
      <c r="H5" s="14"/>
      <c r="I5" s="14"/>
      <c r="K5" s="6" t="s">
        <v>21</v>
      </c>
      <c r="L5" s="6"/>
      <c r="M5" s="6"/>
      <c r="N5" s="6"/>
      <c r="P5" s="14" t="s">
        <v>40</v>
      </c>
      <c r="Q5" s="14"/>
      <c r="R5" s="14"/>
      <c r="S5" s="14"/>
      <c r="T5" s="14"/>
      <c r="U5" s="14"/>
      <c r="V5" s="14"/>
      <c r="W5" s="14"/>
    </row>
    <row r="6" spans="1:23" x14ac:dyDescent="0.5">
      <c r="B6" s="14"/>
      <c r="C6" s="14"/>
      <c r="D6" s="14"/>
      <c r="E6" s="14"/>
      <c r="F6" s="14"/>
      <c r="G6" s="14"/>
      <c r="H6" s="14"/>
      <c r="I6" s="14"/>
      <c r="K6" s="6"/>
      <c r="L6" s="6"/>
      <c r="M6" s="6"/>
      <c r="N6" s="6"/>
      <c r="P6" s="14"/>
      <c r="Q6" s="14"/>
      <c r="R6" s="14"/>
      <c r="S6" s="14"/>
      <c r="T6" s="14"/>
      <c r="U6" s="14"/>
      <c r="V6" s="14"/>
      <c r="W6" s="14"/>
    </row>
    <row r="7" spans="1:23" x14ac:dyDescent="0.5">
      <c r="K7" s="10" t="s">
        <v>14</v>
      </c>
      <c r="L7" s="10"/>
      <c r="M7" s="10" t="s">
        <v>15</v>
      </c>
      <c r="N7" s="10"/>
    </row>
    <row r="8" spans="1:23" x14ac:dyDescent="0.5">
      <c r="K8" s="10"/>
      <c r="L8" s="10"/>
      <c r="M8" s="10"/>
      <c r="N8" s="10"/>
    </row>
    <row r="9" spans="1:23" x14ac:dyDescent="0.5">
      <c r="K9" s="2" t="s">
        <v>30</v>
      </c>
      <c r="L9" s="2"/>
      <c r="M9" s="2">
        <v>1200</v>
      </c>
      <c r="N9" s="2"/>
    </row>
    <row r="10" spans="1:23" x14ac:dyDescent="0.5">
      <c r="K10" s="2"/>
      <c r="L10" s="2"/>
      <c r="M10" s="2"/>
      <c r="N10" s="2"/>
    </row>
    <row r="11" spans="1:23" x14ac:dyDescent="0.5">
      <c r="K11" s="2" t="s">
        <v>48</v>
      </c>
      <c r="L11" s="2"/>
      <c r="M11" s="2">
        <v>975</v>
      </c>
      <c r="N11" s="2"/>
    </row>
    <row r="12" spans="1:23" x14ac:dyDescent="0.5">
      <c r="K12" s="2"/>
      <c r="L12" s="2"/>
      <c r="M12" s="2"/>
      <c r="N12" s="2"/>
    </row>
    <row r="13" spans="1:23" x14ac:dyDescent="0.5">
      <c r="K13" s="2" t="s">
        <v>69</v>
      </c>
      <c r="L13" s="2"/>
      <c r="M13" s="2">
        <v>3383</v>
      </c>
      <c r="N13" s="2"/>
    </row>
    <row r="14" spans="1:23" x14ac:dyDescent="0.5">
      <c r="K14" s="2"/>
      <c r="L14" s="2"/>
      <c r="M14" s="2"/>
      <c r="N14" s="2"/>
    </row>
    <row r="15" spans="1:23" x14ac:dyDescent="0.5">
      <c r="K15" s="2" t="s">
        <v>70</v>
      </c>
      <c r="L15" s="2"/>
      <c r="M15" s="2">
        <v>2970</v>
      </c>
      <c r="N15" s="2"/>
    </row>
    <row r="16" spans="1:23" x14ac:dyDescent="0.5">
      <c r="K16" s="2"/>
      <c r="L16" s="2"/>
      <c r="M16" s="2"/>
      <c r="N16" s="2"/>
    </row>
    <row r="24" spans="2:23" x14ac:dyDescent="0.5">
      <c r="B24" s="16" t="s">
        <v>67</v>
      </c>
      <c r="C24" s="16"/>
      <c r="D24" s="16"/>
      <c r="E24" s="16"/>
      <c r="F24" s="16"/>
      <c r="G24" s="16"/>
      <c r="H24" s="16"/>
      <c r="I24" s="16"/>
      <c r="J24" s="16" t="s">
        <v>68</v>
      </c>
      <c r="K24" s="16"/>
      <c r="L24" s="16"/>
      <c r="M24" s="16"/>
      <c r="N24" s="16"/>
      <c r="O24" s="16"/>
      <c r="P24" s="16" t="s">
        <v>43</v>
      </c>
      <c r="Q24" s="16"/>
      <c r="R24" s="16"/>
      <c r="S24" s="16"/>
      <c r="T24" s="16"/>
      <c r="U24" s="16"/>
      <c r="V24" s="16"/>
      <c r="W24" s="16"/>
    </row>
    <row r="25" spans="2:23" x14ac:dyDescent="0.5"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</row>
    <row r="43" spans="10:15" x14ac:dyDescent="0.5">
      <c r="J43" s="17" t="s">
        <v>71</v>
      </c>
      <c r="K43" s="17"/>
      <c r="L43" s="17"/>
      <c r="M43" s="17"/>
      <c r="N43" s="17"/>
      <c r="O43" s="17"/>
    </row>
    <row r="44" spans="10:15" x14ac:dyDescent="0.5">
      <c r="J44" s="17"/>
      <c r="K44" s="17"/>
      <c r="L44" s="17"/>
      <c r="M44" s="17"/>
      <c r="N44" s="17"/>
      <c r="O44" s="17"/>
    </row>
  </sheetData>
  <mergeCells count="18">
    <mergeCell ref="A1:W3"/>
    <mergeCell ref="P5:W6"/>
    <mergeCell ref="B5:I6"/>
    <mergeCell ref="B24:I25"/>
    <mergeCell ref="P24:W25"/>
    <mergeCell ref="J24:O25"/>
    <mergeCell ref="K5:N6"/>
    <mergeCell ref="K7:L8"/>
    <mergeCell ref="M7:N8"/>
    <mergeCell ref="K9:L10"/>
    <mergeCell ref="J43:O44"/>
    <mergeCell ref="K11:L12"/>
    <mergeCell ref="K13:L14"/>
    <mergeCell ref="K15:L16"/>
    <mergeCell ref="M9:N10"/>
    <mergeCell ref="M11:N12"/>
    <mergeCell ref="M13:N14"/>
    <mergeCell ref="M15:N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Raw_Admission_Data</vt:lpstr>
      <vt:lpstr>Admission_Calculations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Deuspeu ‎</dc:creator>
  <cp:lastModifiedBy>Deuspeu ‎</cp:lastModifiedBy>
  <dcterms:created xsi:type="dcterms:W3CDTF">2025-12-31T02:21:20Z</dcterms:created>
  <dcterms:modified xsi:type="dcterms:W3CDTF">2025-12-31T12:02:07Z</dcterms:modified>
</cp:coreProperties>
</file>